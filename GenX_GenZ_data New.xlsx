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iva\Desktop\"/>
    </mc:Choice>
  </mc:AlternateContent>
  <xr:revisionPtr revIDLastSave="0" documentId="13_ncr:1_{7C382409-07B6-4F88-AA10-A76505A6401B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Data" sheetId="1" r:id="rId1"/>
    <sheet name="GenX" sheetId="4" r:id="rId2"/>
    <sheet name="GenZ" sheetId="5" r:id="rId3"/>
    <sheet name="X&amp;Z_Agrees_Avg" sheetId="7" r:id="rId4"/>
    <sheet name="Descrptive Statistics" sheetId="2" r:id="rId5"/>
    <sheet name="t-Tests" sheetId="8" r:id="rId6"/>
    <sheet name="Summary" sheetId="9" r:id="rId7"/>
    <sheet name="Charts" sheetId="10" r:id="rId8"/>
  </sheets>
  <definedNames>
    <definedName name="_xlnm._FilterDatabase" localSheetId="0" hidden="1">Data!$A$1:$Z$39</definedName>
    <definedName name="_xlnm._FilterDatabase" localSheetId="3" hidden="1">'X&amp;Z_Agrees_Avg'!$B$1:$T$39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9" l="1"/>
  <c r="G10" i="9"/>
  <c r="H28" i="9" l="1"/>
  <c r="H23" i="9"/>
  <c r="H22" i="9"/>
  <c r="H21" i="9"/>
  <c r="H20" i="9"/>
  <c r="S41" i="7"/>
  <c r="H19" i="9"/>
  <c r="H18" i="9"/>
  <c r="H14" i="9"/>
  <c r="H13" i="9"/>
  <c r="H12" i="9"/>
  <c r="H11" i="9"/>
  <c r="G28" i="9"/>
  <c r="G19" i="9"/>
  <c r="G20" i="9"/>
  <c r="G21" i="9"/>
  <c r="G22" i="9"/>
  <c r="G23" i="9"/>
  <c r="G18" i="9"/>
  <c r="G11" i="9"/>
  <c r="G12" i="9"/>
  <c r="G13" i="9"/>
  <c r="G14" i="9"/>
  <c r="H6" i="9"/>
  <c r="H5" i="9"/>
  <c r="H4" i="9"/>
  <c r="G4" i="9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B41" i="7"/>
</calcChain>
</file>

<file path=xl/sharedStrings.xml><?xml version="1.0" encoding="utf-8"?>
<sst xmlns="http://schemas.openxmlformats.org/spreadsheetml/2006/main" count="1612" uniqueCount="167">
  <si>
    <t>Timestamp</t>
  </si>
  <si>
    <t>What is your gender?</t>
  </si>
  <si>
    <t>Which year are you born in?</t>
  </si>
  <si>
    <t>Approximate monthly personal income in forints?</t>
  </si>
  <si>
    <t xml:space="preserve">  Employment status?  </t>
  </si>
  <si>
    <t>Protecting the environment should be prioritized.</t>
  </si>
  <si>
    <t>I consider it my personal responsibility to reduce waste.</t>
  </si>
  <si>
    <t>What factors influence your decision to buy eco-friendly products?</t>
  </si>
  <si>
    <t>Companies hold the responsibility to minimize the environmental impact of their products.</t>
  </si>
  <si>
    <t>I prefer to purchase products that are environmentally friendly, even if they come at a higher price.</t>
  </si>
  <si>
    <t xml:space="preserve">  I prefer products with eco-friendly packaging over conventional packaging.  </t>
  </si>
  <si>
    <t xml:space="preserve">I worry about how today’s packaging waste will affect future generations.  </t>
  </si>
  <si>
    <t>I actively seek information regarding the sustainability of the products I purchase.</t>
  </si>
  <si>
    <t xml:space="preserve">I trust in a company's claims regarding the environmental benefits of its packaging  </t>
  </si>
  <si>
    <t>Brands often exaggerate the environmental benefits of their products.</t>
  </si>
  <si>
    <t>I often find it challenging to determine which brands truly practice sustainability</t>
  </si>
  <si>
    <t>I would be willing to change my purchasing habits based on new information about a product's environmental impact.</t>
  </si>
  <si>
    <t>Imagine your usual bread costs 400 forints.
If that same bread cost 460 forints, would you be willing to pay an additional 10% for eco-friendly packaging?"</t>
  </si>
  <si>
    <t>I would pick a more expensive product with eco-friendly packaging instead of a cheaper one with regular packaging.</t>
  </si>
  <si>
    <t>I think companies should use sustainable packaging, even if their products cost more.</t>
  </si>
  <si>
    <t>I am cautious about trusting sustainability claims made by brands</t>
  </si>
  <si>
    <t xml:space="preserve">  I worry that some companies pretend to be eco-friendly just to attract customers.  </t>
  </si>
  <si>
    <t xml:space="preserve">  I think there should be stricter rules to stop companies from making false environmental claims.  </t>
  </si>
  <si>
    <t xml:space="preserve">  I get frustrated when brands use “green” words without proving their products are truly sustainable.  </t>
  </si>
  <si>
    <t>Score</t>
  </si>
  <si>
    <t>Generation</t>
  </si>
  <si>
    <t>Female</t>
  </si>
  <si>
    <t>250,000 - 400,000</t>
  </si>
  <si>
    <t>Part time employment</t>
  </si>
  <si>
    <t>Personal values</t>
  </si>
  <si>
    <t>Gen Z (1997 - 2012)</t>
  </si>
  <si>
    <t>Male</t>
  </si>
  <si>
    <t>under 250,000</t>
  </si>
  <si>
    <t>Full time employment</t>
  </si>
  <si>
    <t xml:space="preserve">To improved performance in productions </t>
  </si>
  <si>
    <t>To be mindful of my environment.</t>
  </si>
  <si>
    <t>Unemployed</t>
  </si>
  <si>
    <t xml:space="preserve">Price </t>
  </si>
  <si>
    <t xml:space="preserve">Human health factors </t>
  </si>
  <si>
    <t>Prices</t>
  </si>
  <si>
    <t>600,000 and above</t>
  </si>
  <si>
    <t>The emerging threat of enviroment degradation and climate change</t>
  </si>
  <si>
    <t xml:space="preserve">If the price is the same I'll get the eco friendly </t>
  </si>
  <si>
    <t>It saves us and our health</t>
  </si>
  <si>
    <t>Gen X (1965 - 1980)</t>
  </si>
  <si>
    <t>Price and budget , accessibility and usage.</t>
  </si>
  <si>
    <t xml:space="preserve">I just buy what I want </t>
  </si>
  <si>
    <t>Marine life mostly</t>
  </si>
  <si>
    <t>whether the product is as usable as the "normal alternative"</t>
  </si>
  <si>
    <t xml:space="preserve">Personal health </t>
  </si>
  <si>
    <t xml:space="preserve">it is my responsibility to be more mindful of what i purchase </t>
  </si>
  <si>
    <t xml:space="preserve">Environment </t>
  </si>
  <si>
    <t xml:space="preserve">Nothing </t>
  </si>
  <si>
    <t>Retired</t>
  </si>
  <si>
    <t>Many factors influenece</t>
  </si>
  <si>
    <t>400,000 - 600,000</t>
  </si>
  <si>
    <t xml:space="preserve">For healthy environment and health conscious </t>
  </si>
  <si>
    <t xml:space="preserve">Earth's atmosphere is getting polluted. </t>
  </si>
  <si>
    <t xml:space="preserve">To reduce carbon footprint and pollution.
Go green, save earth. </t>
  </si>
  <si>
    <t>To keep our planet safe and our environment clean</t>
  </si>
  <si>
    <t>They should be not causing environmental issues</t>
  </si>
  <si>
    <t>Growing pollution and improper waste management</t>
  </si>
  <si>
    <t xml:space="preserve">Money, product, quality of product, location </t>
  </si>
  <si>
    <t>For earth's safety, to reduce pollution caused by using plastics and other conventional methods.</t>
  </si>
  <si>
    <t>Price, product quality, packaging.</t>
  </si>
  <si>
    <t>No Ans</t>
  </si>
  <si>
    <t>Social influence</t>
  </si>
  <si>
    <t>Global warming, climatic changes, product quality and price.</t>
  </si>
  <si>
    <t>Price, quality and earth ecosystem.</t>
  </si>
  <si>
    <t>availability and convenience of the products</t>
  </si>
  <si>
    <t>Concern for environment and health</t>
  </si>
  <si>
    <t>Glad to contribute for green initiative programs or products keeping earth's safety into consideration as there are a lot of pollution is causing global warming.!</t>
  </si>
  <si>
    <t>Positive attitude towards eco friendly products</t>
  </si>
  <si>
    <t>Positive past experience with packaging green products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</si>
  <si>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</si>
  <si>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</si>
  <si>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</si>
  <si>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</si>
  <si>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</si>
  <si>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</si>
  <si>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</si>
  <si>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</si>
  <si>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</si>
  <si>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</si>
  <si>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</si>
  <si>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</si>
  <si>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</si>
  <si>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Overall Descriptive statistics Summary</t>
  </si>
  <si>
    <t>Gen-X Descriptive statistics Summary</t>
  </si>
  <si>
    <t>Gen-Z Descriptive statistics Summary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</si>
  <si>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</si>
  <si>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</si>
  <si>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</si>
  <si>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</si>
  <si>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</si>
  <si>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</si>
  <si>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</si>
  <si>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</si>
  <si>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</si>
  <si>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</si>
  <si>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Gen Z</t>
  </si>
  <si>
    <t>Gen X</t>
  </si>
  <si>
    <t>Question 1:</t>
  </si>
  <si>
    <t>Question 2:</t>
  </si>
  <si>
    <t>Question 3:</t>
  </si>
  <si>
    <t>Question 4:</t>
  </si>
  <si>
    <t>Question 5:</t>
  </si>
  <si>
    <t>Question 6:</t>
  </si>
  <si>
    <t>Question 7:</t>
  </si>
  <si>
    <t>Question 8:</t>
  </si>
  <si>
    <t>Question 9:</t>
  </si>
  <si>
    <t>Question 10:</t>
  </si>
  <si>
    <t>Question 11:</t>
  </si>
  <si>
    <t>Question 12:</t>
  </si>
  <si>
    <t>Question 13:</t>
  </si>
  <si>
    <t>Question 14:</t>
  </si>
  <si>
    <t>Question 15:</t>
  </si>
  <si>
    <t>Question 16:</t>
  </si>
  <si>
    <t>Question 17:</t>
  </si>
  <si>
    <t>Question 18:</t>
  </si>
  <si>
    <t>p-value</t>
  </si>
  <si>
    <t>Gen X Mean</t>
  </si>
  <si>
    <t>Gen Z Mean</t>
  </si>
  <si>
    <t>Significant (p&lt;0.05)?</t>
  </si>
  <si>
    <t>Mean Diff</t>
  </si>
  <si>
    <t>Interpretation</t>
  </si>
  <si>
    <t>Protecting the environment should be prioritized</t>
  </si>
  <si>
    <t>YES</t>
  </si>
  <si>
    <t>Personal responsibility to reduce waste</t>
  </si>
  <si>
    <t>Companies responsible for minimising environmental impact</t>
  </si>
  <si>
    <t>NO</t>
  </si>
  <si>
    <t>Environmental Values &amp; Responsibility</t>
  </si>
  <si>
    <t>Question</t>
  </si>
  <si>
    <t>Significant?</t>
  </si>
  <si>
    <t>Prefer eco-friendly products even if higher price</t>
  </si>
  <si>
    <t>Gen X is significantly more willing to pay more for eco-friendly products.</t>
  </si>
  <si>
    <t>Prefer eco-friendly packaging over conventional</t>
  </si>
  <si>
    <t>Both generations prefer eco-packaging; difference not significant.</t>
  </si>
  <si>
    <t>Actively seek sustainability information</t>
  </si>
  <si>
    <t>Both groups show similarly high engagement in sustainability info-seeking.</t>
  </si>
  <si>
    <t>Willing to change purchasing habits for environmental impact</t>
  </si>
  <si>
    <t>No generational difference; moderate willingness to change behavior.</t>
  </si>
  <si>
    <t>Scenario: willing to pay +10% for eco packaging</t>
  </si>
  <si>
    <t>Majority are willing to pay +10%, but difference between generations is not significant.</t>
  </si>
  <si>
    <t>Sustainable Packaging Preferences &amp; Price Sensitivity</t>
  </si>
  <si>
    <t>Trust, Greenwashing &amp; Scepticism</t>
  </si>
  <si>
    <t>Trust company environmental claims</t>
  </si>
  <si>
    <t>Trust levels vary but not significantly; overall trust is moderate/low.</t>
  </si>
  <si>
    <t>Brands exaggerate environmental benefits</t>
  </si>
  <si>
    <t>High greenwashing concern in both groups.</t>
  </si>
  <si>
    <t>Hard to identify true sustainability</t>
  </si>
  <si>
    <t>Both groups struggle to determine which brands are actually sustainable.</t>
  </si>
  <si>
    <t>Cautious about trusting sustainability claims</t>
  </si>
  <si>
    <t>Both groups cautious; Gen Z slightly more skeptical but not significantly.</t>
  </si>
  <si>
    <t>Companies pretend to be eco-friendly for marketing</t>
  </si>
  <si>
    <t>Gen X is significantly more concerned about fake eco-friendliness.</t>
  </si>
  <si>
    <t>Frustrated by vague “green” terms</t>
  </si>
  <si>
    <t>High frustration across both generations.</t>
  </si>
  <si>
    <t>Stricter rules needed to stop false claims</t>
  </si>
  <si>
    <t>Strong support for regulation across both groups.</t>
  </si>
  <si>
    <t>Regulation &amp; Policy</t>
  </si>
  <si>
    <t>% Agree (4–5)</t>
  </si>
  <si>
    <t>%ofagree (4-5)</t>
  </si>
  <si>
    <t>since the p-value is 0.04, Gen X places significantly higher importance on environmental protection than Gen Z.</t>
  </si>
  <si>
    <t>since the p-value is 0.04, Gen X feels significantly stronger personal responsibility than Gen Z.</t>
  </si>
  <si>
    <t>since the p-value is less that 0.05, Both generations strongly agree; no significant difference.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</si>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</sst>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left" vertical="top"/>
    </xf>
    <xf numFmtId="2" fontId="0" fillId="0" borderId="0" xfId="0" applyNumberFormat="1"/>
    <xf numFmtId="2" fontId="0" fillId="0" borderId="2" xfId="0" applyNumberFormat="1" applyBorder="1"/>
    <xf numFmtId="2" fontId="0" fillId="2" borderId="0" xfId="0" applyNumberForma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 wrapText="1"/>
    </xf>
    <xf numFmtId="9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5"/>
      <color rgb="FF01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Eco-Friendly Products &amp; Packaging preferences</a:t>
            </a:r>
            <a:r>
              <a:rPr lang="en-IN" baseline="0"/>
              <a:t> </a:t>
            </a:r>
            <a:r>
              <a:rPr lang="en-IN"/>
              <a:t>(Gen X vs Gen 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Summary!$C$9</c:f>
              <c:strCache>
                <c:ptCount val="1"/>
                <c:pt idx="0">
                  <c:v>Gen X Mean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Summary!$B$10:$B$11</c:f>
              <c:strCache>
                <c:ptCount val="2"/>
                <c:pt idx="0">
                  <c:v>Prefer eco-friendly products even if higher price</c:v>
                </c:pt>
                <c:pt idx="1">
                  <c:v>Prefer eco-friendly packaging over conventional</c:v>
                </c:pt>
              </c:strCache>
            </c:strRef>
          </c:cat>
          <c:val>
            <c:numRef>
              <c:f>Summary!$C$10:$C$11</c:f>
              <c:numCache>
                <c:formatCode>General</c:formatCode>
                <c:ptCount val="2"/>
                <c:pt idx="0">
                  <c:v>4.18</c:v>
                </c:pt>
                <c:pt idx="1">
                  <c:v>4.3600000000000003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9B1-BCC4-1F40FD1062AC}"/>
            </c:ext>
          </c:extLst>
        </c:ser>
        <c:ser>
          <c:idx val="1"/>
          <c:order val="1"/>
          <c:tx>
            <c:strRef>
              <c:f>Summary!$D$9</c:f>
              <c:strCache>
                <c:ptCount val="1"/>
                <c:pt idx="0">
                  <c:v>Gen Z Mean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Summary!$B$10:$B$11</c:f>
              <c:strCache>
                <c:ptCount val="2"/>
                <c:pt idx="0">
                  <c:v>Prefer eco-friendly products even if higher price</c:v>
                </c:pt>
                <c:pt idx="1">
                  <c:v>Prefer eco-friendly packaging over conventional</c:v>
                </c:pt>
              </c:strCache>
            </c:strRef>
          </c:cat>
          <c:val>
            <c:numRef>
              <c:f>Summary!$D$10:$D$11</c:f>
              <c:numCache>
                <c:formatCode>General</c:formatCode>
                <c:ptCount val="2"/>
                <c:pt idx="0">
                  <c:v>3.41</c:v>
                </c:pt>
                <c:pt idx="1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9B1-BCC4-1F40FD1062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991904"/>
        <c:axId val="121975584"/>
      </c:barChart>
      <c:catAx>
        <c:axId val="12199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75584"/>
        <c:crosses val="autoZero"/>
        <c:auto val="1"/>
        <c:lblAlgn val="ctr"/>
        <c:lblOffset val="100"/>
        <c:noMultiLvlLbl val="0"/>
      </c:catAx>
      <c:valAx>
        <c:axId val="1219755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Environmental Values &amp; Responsibility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Summary!$C$3</c:f>
              <c:strCache>
                <c:ptCount val="1"/>
                <c:pt idx="0">
                  <c:v>Gen X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Summary!$B$4:$B$6</c:f>
              <c:strCache>
                <c:ptCount val="3"/>
                <c:pt idx="0">
                  <c:v>Protecting the environment should be prioritized</c:v>
                </c:pt>
                <c:pt idx="1">
                  <c:v>Personal responsibility to reduce waste</c:v>
                </c:pt>
                <c:pt idx="2">
                  <c:v>Companies responsible for minimising environmental impact</c:v>
                </c:pt>
              </c:strCache>
            </c:strRef>
          </c:cat>
          <c:val>
            <c:numRef>
              <c:f>Summary!$C$4:$C$6</c:f>
              <c:numCache>
                <c:formatCode>General</c:formatCode>
                <c:ptCount val="3"/>
                <c:pt idx="0">
                  <c:v>4.6399999999999997</c:v>
                </c:pt>
                <c:pt idx="1">
                  <c:v>4.55</c:v>
                </c:pt>
                <c:pt idx="2">
                  <c:v>4.3600000000000003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E-4E47-AB5F-FA7AFA36D8AA}"/>
            </c:ext>
          </c:extLst>
        </c:ser>
        <c:ser>
          <c:idx val="1"/>
          <c:order val="1"/>
          <c:tx>
            <c:strRef>
              <c:f>Summary!$D$3</c:f>
              <c:strCache>
                <c:ptCount val="1"/>
                <c:pt idx="0">
                  <c:v>Gen Z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Summary!$B$4:$B$6</c:f>
              <c:strCache>
                <c:ptCount val="3"/>
                <c:pt idx="0">
                  <c:v>Protecting the environment should be prioritized</c:v>
                </c:pt>
                <c:pt idx="1">
                  <c:v>Personal responsibility to reduce waste</c:v>
                </c:pt>
                <c:pt idx="2">
                  <c:v>Companies responsible for minimising environmental impact</c:v>
                </c:pt>
              </c:strCache>
            </c:strRef>
          </c:cat>
          <c:val>
            <c:numRef>
              <c:f>Summary!$D$4:$D$6</c:f>
              <c:numCache>
                <c:formatCode>General</c:formatCode>
                <c:ptCount val="3"/>
                <c:pt idx="0">
                  <c:v>4.04</c:v>
                </c:pt>
                <c:pt idx="1">
                  <c:v>3.81</c:v>
                </c:pt>
                <c:pt idx="2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E-4E47-AB5F-FA7AFA36D8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1239632"/>
        <c:axId val="121239152"/>
      </c:barChart>
      <c:catAx>
        <c:axId val="1212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39152"/>
        <c:crosses val="autoZero"/>
        <c:auto val="1"/>
        <c:lblAlgn val="ctr"/>
        <c:lblOffset val="100"/>
        <c:noMultiLvlLbl val="0"/>
      </c:catAx>
      <c:valAx>
        <c:axId val="12123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23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Willingness to pay extra for Eco-Friendly Packaging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Gen X Mean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Summary!$B$14</c:f>
              <c:strCache>
                <c:ptCount val="1"/>
                <c:pt idx="0">
                  <c:v>Scenario: willing to pay +10% for eco packaging</c:v>
                </c:pt>
              </c:strCache>
            </c:strRef>
          </c:cat>
          <c:val>
            <c:numRef>
              <c:f>Summary!$C$14</c:f>
              <c:numCache>
                <c:formatCode>General</c:formatCode>
                <c:ptCount val="1"/>
                <c:pt idx="0">
                  <c:v>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E-4D5C-8D63-CA44CB80B6DB}"/>
            </c:ext>
          </c:extLst>
        </c:ser>
        <c:ser>
          <c:idx val="1"/>
          <c:order val="1"/>
          <c:tx>
            <c:v>Gen Z Mean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Summary!$B$14</c:f>
              <c:strCache>
                <c:ptCount val="1"/>
                <c:pt idx="0">
                  <c:v>Scenario: willing to pay +10% for eco packaging</c:v>
                </c:pt>
              </c:strCache>
            </c:strRef>
          </c:cat>
          <c:val>
            <c:numRef>
              <c:f>Summary!$D$14</c:f>
              <c:numCache>
                <c:formatCode>General</c:formatCode>
                <c:ptCount val="1"/>
                <c:pt idx="0">
                  <c:v>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E-4D5C-8D63-CA44CB80B6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1492784"/>
        <c:axId val="1341494704"/>
      </c:barChart>
      <c:catAx>
        <c:axId val="13414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94704"/>
        <c:crosses val="autoZero"/>
        <c:auto val="1"/>
        <c:lblAlgn val="ctr"/>
        <c:lblOffset val="100"/>
        <c:noMultiLvlLbl val="0"/>
      </c:catAx>
      <c:valAx>
        <c:axId val="13414947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14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Trust, Greenwashing &amp; Scepticism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Summary!$C$17</c:f>
              <c:strCache>
                <c:ptCount val="1"/>
                <c:pt idx="0">
                  <c:v>Gen X Mean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(Summary!$B$18:$B$19,Summary!$B$22)</c:f>
              <c:strCache>
                <c:ptCount val="3"/>
                <c:pt idx="0">
                  <c:v>Trust company environmental claims</c:v>
                </c:pt>
                <c:pt idx="1">
                  <c:v>Brands exaggerate environmental benefits</c:v>
                </c:pt>
                <c:pt idx="2">
                  <c:v>Companies pretend to be eco-friendly for marketing</c:v>
                </c:pt>
              </c:strCache>
            </c:strRef>
          </c:cat>
          <c:val>
            <c:numRef>
              <c:f>(Summary!$C$18:$C$19,Summary!$C$22)</c:f>
              <c:numCache>
                <c:formatCode>General</c:formatCode>
                <c:ptCount val="3"/>
                <c:pt idx="0">
                  <c:v>2.5499999999999998</c:v>
                </c:pt>
                <c:pt idx="1">
                  <c:v>4.3600000000000003</c:v>
                </c:pt>
                <c:pt idx="2">
                  <c:v>4.3600000000000003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B-4BEB-A45D-064443DA0516}"/>
            </c:ext>
          </c:extLst>
        </c:ser>
        <c:ser>
          <c:idx val="1"/>
          <c:order val="1"/>
          <c:tx>
            <c:strRef>
              <c:f>Summary!$D$17</c:f>
              <c:strCache>
                <c:ptCount val="1"/>
                <c:pt idx="0">
                  <c:v>Gen Z Mean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(Summary!$B$18:$B$19,Summary!$B$22)</c:f>
              <c:strCache>
                <c:ptCount val="3"/>
                <c:pt idx="0">
                  <c:v>Trust company environmental claims</c:v>
                </c:pt>
                <c:pt idx="1">
                  <c:v>Brands exaggerate environmental benefits</c:v>
                </c:pt>
                <c:pt idx="2">
                  <c:v>Companies pretend to be eco-friendly for marketing</c:v>
                </c:pt>
              </c:strCache>
            </c:strRef>
          </c:cat>
          <c:val>
            <c:numRef>
              <c:f>(Summary!$D$18:$D$19,Summary!$D$22)</c:f>
              <c:numCache>
                <c:formatCode>General</c:formatCode>
                <c:ptCount val="3"/>
                <c:pt idx="0">
                  <c:v>3.41</c:v>
                </c:pt>
                <c:pt idx="1">
                  <c:v>3.89</c:v>
                </c:pt>
                <c:pt idx="2">
                  <c:v>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B-4BEB-A45D-064443DA05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53735344"/>
        <c:axId val="2053739664"/>
      </c:barChart>
      <c:catAx>
        <c:axId val="205373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739664"/>
        <c:crosses val="autoZero"/>
        <c:auto val="1"/>
        <c:lblAlgn val="ctr"/>
        <c:lblOffset val="100"/>
        <c:noMultiLvlLbl val="0"/>
      </c:catAx>
      <c:valAx>
        <c:axId val="2053739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73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434340</xdr:colOff>
      <xdr:row>1</xdr:row>
      <xdr:rowOff>137160</xdr:rowOff>
    </xdr:from>
    <xdr:to>
      <xdr:col>16</xdr:col>
      <xdr:colOff>129540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5C675-37A8-42DB-AE04-D12B39742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1</xdr:row>
      <xdr:rowOff>114300</xdr:rowOff>
    </xdr:from>
    <xdr:to>
      <xdr:col>8</xdr:col>
      <xdr:colOff>228600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63E822-1266-4F40-9813-132C99829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144780</xdr:colOff>
      <xdr:row>1</xdr:row>
      <xdr:rowOff>91440</xdr:rowOff>
    </xdr:from>
    <xdr:to>
      <xdr:col>23</xdr:col>
      <xdr:colOff>449580</xdr:colOff>
      <xdr:row>16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0E498-1338-440D-A4EA-63A945416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365760</xdr:colOff>
      <xdr:row>1</xdr:row>
      <xdr:rowOff>152400</xdr:rowOff>
    </xdr:from>
    <xdr:to>
      <xdr:col>32</xdr:col>
      <xdr:colOff>60960</xdr:colOff>
      <xdr:row>16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F17A37-829A-4B93-96A1-5C85242C5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</cdr:x>
      <cdr:y>0.33333</cdr:y>
    </cdr:to>
    <cdr:pic>
      <cdr:nvPicPr>
        <cdr:cNvPr id="3" name="Graphic 2" descr="Shopping cart with solid fill">
          <a:extLst xmlns:a="http://schemas.openxmlformats.org/drawingml/2006/main">
            <a:ext uri="{FF2B5EF4-FFF2-40B4-BE49-F238E27FC236}">
              <a16:creationId xmlns:a16="http://schemas.microsoft.com/office/drawing/2014/main" id="{938282B0-9AE1-87A5-1E73-9DC693928EE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14400" cy="91440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0.00333</cdr:x>
      <cdr:y>0</cdr:y>
    </cdr:from>
    <cdr:to>
      <cdr:x>0.20333</cdr:x>
      <cdr:y>0.33333</cdr:y>
    </cdr:to>
    <cdr:pic>
      <cdr:nvPicPr>
        <cdr:cNvPr id="3" name="Graphic 2" descr="Open hand with plant with solid fill">
          <a:extLst xmlns:a="http://schemas.openxmlformats.org/drawingml/2006/main">
            <a:ext uri="{FF2B5EF4-FFF2-40B4-BE49-F238E27FC236}">
              <a16:creationId xmlns:a16="http://schemas.microsoft.com/office/drawing/2014/main" id="{B4A63D7C-7BCA-9574-CE6F-CDEEF4824E2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5240" y="0"/>
          <a:ext cx="914400" cy="91440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</cdr:x>
      <cdr:y>0.33333</cdr:y>
    </cdr:to>
    <cdr:pic>
      <cdr:nvPicPr>
        <cdr:cNvPr id="7" name="Graphic 6" descr="Money with solid fill">
          <a:extLst xmlns:a="http://schemas.openxmlformats.org/drawingml/2006/main">
            <a:ext uri="{FF2B5EF4-FFF2-40B4-BE49-F238E27FC236}">
              <a16:creationId xmlns:a16="http://schemas.microsoft.com/office/drawing/2014/main" id="{186A54E3-7CE1-8CB1-BBD7-9A59A190272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14400" cy="91440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0.00833</cdr:x>
      <cdr:y>0</cdr:y>
    </cdr:from>
    <cdr:to>
      <cdr:x>0.16</cdr:x>
      <cdr:y>0.21907</cdr:y>
    </cdr:to>
    <cdr:pic>
      <cdr:nvPicPr>
        <cdr:cNvPr id="3" name="Graphic 2" descr="Warning with solid fill">
          <a:extLst xmlns:a="http://schemas.openxmlformats.org/drawingml/2006/main">
            <a:ext uri="{FF2B5EF4-FFF2-40B4-BE49-F238E27FC236}">
              <a16:creationId xmlns:a16="http://schemas.microsoft.com/office/drawing/2014/main" id="{C14BE736-8D04-9ED6-12E5-34A00450C0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8100" y="0"/>
          <a:ext cx="693420" cy="60096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selection activeCell="K18" sqref="K18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45986.557008622687</v>
      </c>
      <c r="B2" t="s">
        <v>26</v>
      </c>
      <c r="C2">
        <v>2003</v>
      </c>
      <c r="D2" t="s">
        <v>27</v>
      </c>
      <c r="E2" t="s">
        <v>28</v>
      </c>
      <c r="F2" t="s">
        <v>29</v>
      </c>
      <c r="G2">
        <v>5</v>
      </c>
      <c r="H2">
        <v>5</v>
      </c>
      <c r="I2">
        <v>5</v>
      </c>
      <c r="J2">
        <v>4</v>
      </c>
      <c r="K2">
        <v>4</v>
      </c>
      <c r="L2">
        <v>5</v>
      </c>
      <c r="M2">
        <v>5</v>
      </c>
      <c r="N2">
        <v>5</v>
      </c>
      <c r="O2">
        <v>4</v>
      </c>
      <c r="P2">
        <v>4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Z2" t="s">
        <v>30</v>
      </c>
    </row>
    <row r="3" spans="1:26" x14ac:dyDescent="0.3">
      <c r="A3" s="2">
        <v>45986.558098692127</v>
      </c>
      <c r="B3" t="s">
        <v>31</v>
      </c>
      <c r="C3">
        <v>1997</v>
      </c>
      <c r="D3" t="s">
        <v>32</v>
      </c>
      <c r="E3" t="s">
        <v>33</v>
      </c>
      <c r="F3" t="s">
        <v>34</v>
      </c>
      <c r="G3">
        <v>5</v>
      </c>
      <c r="H3">
        <v>5</v>
      </c>
      <c r="I3">
        <v>1</v>
      </c>
      <c r="J3">
        <v>3</v>
      </c>
      <c r="K3">
        <v>1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3</v>
      </c>
      <c r="S3">
        <v>3</v>
      </c>
      <c r="T3">
        <v>5</v>
      </c>
      <c r="U3">
        <v>5</v>
      </c>
      <c r="V3">
        <v>5</v>
      </c>
      <c r="W3">
        <v>5</v>
      </c>
      <c r="X3">
        <v>5</v>
      </c>
      <c r="Z3" t="s">
        <v>30</v>
      </c>
    </row>
    <row r="4" spans="1:26" x14ac:dyDescent="0.3">
      <c r="A4" s="2">
        <v>45986.559162581019</v>
      </c>
      <c r="B4" t="s">
        <v>26</v>
      </c>
      <c r="C4">
        <v>1997</v>
      </c>
      <c r="D4" t="s">
        <v>27</v>
      </c>
      <c r="E4" t="s">
        <v>28</v>
      </c>
      <c r="F4" t="s">
        <v>35</v>
      </c>
      <c r="G4">
        <v>5</v>
      </c>
      <c r="H4">
        <v>5</v>
      </c>
      <c r="I4">
        <v>4</v>
      </c>
      <c r="J4">
        <v>4</v>
      </c>
      <c r="K4">
        <v>4</v>
      </c>
      <c r="L4">
        <v>5</v>
      </c>
      <c r="M4">
        <v>4</v>
      </c>
      <c r="N4">
        <v>4</v>
      </c>
      <c r="O4">
        <v>5</v>
      </c>
      <c r="P4">
        <v>5</v>
      </c>
      <c r="Q4">
        <v>4</v>
      </c>
      <c r="R4">
        <v>4</v>
      </c>
      <c r="S4">
        <v>4</v>
      </c>
      <c r="T4">
        <v>2</v>
      </c>
      <c r="U4">
        <v>4</v>
      </c>
      <c r="V4">
        <v>4</v>
      </c>
      <c r="W4">
        <v>4</v>
      </c>
      <c r="X4">
        <v>4</v>
      </c>
      <c r="Z4" t="s">
        <v>30</v>
      </c>
    </row>
    <row r="5" spans="1:26" x14ac:dyDescent="0.3">
      <c r="A5" s="2">
        <v>45986.559711388887</v>
      </c>
      <c r="B5" t="s">
        <v>26</v>
      </c>
      <c r="C5">
        <v>2004</v>
      </c>
      <c r="D5" t="s">
        <v>32</v>
      </c>
      <c r="E5" t="s">
        <v>36</v>
      </c>
      <c r="F5" t="s">
        <v>37</v>
      </c>
      <c r="G5">
        <v>3</v>
      </c>
      <c r="H5">
        <v>3</v>
      </c>
      <c r="I5">
        <v>3</v>
      </c>
      <c r="J5">
        <v>4</v>
      </c>
      <c r="K5">
        <v>3</v>
      </c>
      <c r="L5">
        <v>4</v>
      </c>
      <c r="M5">
        <v>4</v>
      </c>
      <c r="N5">
        <v>4</v>
      </c>
      <c r="O5">
        <v>4</v>
      </c>
      <c r="P5">
        <v>5</v>
      </c>
      <c r="Q5">
        <v>4</v>
      </c>
      <c r="R5">
        <v>2</v>
      </c>
      <c r="S5">
        <v>3</v>
      </c>
      <c r="T5">
        <v>4</v>
      </c>
      <c r="U5">
        <v>3</v>
      </c>
      <c r="V5">
        <v>4</v>
      </c>
      <c r="W5">
        <v>4</v>
      </c>
      <c r="X5">
        <v>2</v>
      </c>
      <c r="Z5" t="s">
        <v>30</v>
      </c>
    </row>
    <row r="6" spans="1:26" x14ac:dyDescent="0.3">
      <c r="A6" s="2">
        <v>45986.567757719909</v>
      </c>
      <c r="B6" t="s">
        <v>31</v>
      </c>
      <c r="C6">
        <v>1997</v>
      </c>
      <c r="D6" t="s">
        <v>27</v>
      </c>
      <c r="E6" t="s">
        <v>33</v>
      </c>
      <c r="F6" t="s">
        <v>38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3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Z6" t="s">
        <v>30</v>
      </c>
    </row>
    <row r="7" spans="1:26" x14ac:dyDescent="0.3">
      <c r="A7" s="2">
        <v>45986.569609560182</v>
      </c>
      <c r="B7" t="s">
        <v>31</v>
      </c>
      <c r="C7">
        <v>1997</v>
      </c>
      <c r="D7" t="s">
        <v>32</v>
      </c>
      <c r="E7" t="s">
        <v>28</v>
      </c>
      <c r="F7" t="s">
        <v>39</v>
      </c>
      <c r="G7">
        <v>4</v>
      </c>
      <c r="H7">
        <v>5</v>
      </c>
      <c r="I7">
        <v>4</v>
      </c>
      <c r="J7">
        <v>5</v>
      </c>
      <c r="K7">
        <v>4</v>
      </c>
      <c r="L7">
        <v>5</v>
      </c>
      <c r="M7">
        <v>4</v>
      </c>
      <c r="N7">
        <v>2</v>
      </c>
      <c r="O7">
        <v>2</v>
      </c>
      <c r="P7">
        <v>3</v>
      </c>
      <c r="Q7">
        <v>2</v>
      </c>
      <c r="R7">
        <v>4</v>
      </c>
      <c r="S7">
        <v>3</v>
      </c>
      <c r="T7">
        <v>2</v>
      </c>
      <c r="U7">
        <v>3</v>
      </c>
      <c r="V7">
        <v>3</v>
      </c>
      <c r="W7">
        <v>1</v>
      </c>
      <c r="X7">
        <v>3</v>
      </c>
      <c r="Z7" t="s">
        <v>30</v>
      </c>
    </row>
    <row r="8" spans="1:26" x14ac:dyDescent="0.3">
      <c r="A8" s="2">
        <v>45986.575531064816</v>
      </c>
      <c r="B8" t="s">
        <v>31</v>
      </c>
      <c r="C8">
        <v>2007</v>
      </c>
      <c r="D8" t="s">
        <v>40</v>
      </c>
      <c r="E8" t="s">
        <v>36</v>
      </c>
      <c r="F8" t="s">
        <v>41</v>
      </c>
      <c r="G8">
        <v>4</v>
      </c>
      <c r="H8">
        <v>4</v>
      </c>
      <c r="I8">
        <v>5</v>
      </c>
      <c r="J8">
        <v>1</v>
      </c>
      <c r="K8">
        <v>2</v>
      </c>
      <c r="L8">
        <v>4</v>
      </c>
      <c r="M8">
        <v>4</v>
      </c>
      <c r="N8">
        <v>1</v>
      </c>
      <c r="O8">
        <v>5</v>
      </c>
      <c r="P8">
        <v>4</v>
      </c>
      <c r="Q8">
        <v>4</v>
      </c>
      <c r="R8">
        <v>2</v>
      </c>
      <c r="S8">
        <v>1</v>
      </c>
      <c r="T8">
        <v>5</v>
      </c>
      <c r="U8">
        <v>5</v>
      </c>
      <c r="V8">
        <v>5</v>
      </c>
      <c r="W8">
        <v>5</v>
      </c>
      <c r="X8">
        <v>5</v>
      </c>
      <c r="Z8" t="s">
        <v>30</v>
      </c>
    </row>
    <row r="9" spans="1:26" x14ac:dyDescent="0.3">
      <c r="A9" s="2">
        <v>45986.579851319453</v>
      </c>
      <c r="B9" t="s">
        <v>31</v>
      </c>
      <c r="C9">
        <v>1997</v>
      </c>
      <c r="D9" t="s">
        <v>27</v>
      </c>
      <c r="E9" t="s">
        <v>36</v>
      </c>
      <c r="F9" t="s">
        <v>42</v>
      </c>
      <c r="G9">
        <v>4</v>
      </c>
      <c r="H9">
        <v>2</v>
      </c>
      <c r="I9">
        <v>5</v>
      </c>
      <c r="J9">
        <v>2</v>
      </c>
      <c r="K9">
        <v>5</v>
      </c>
      <c r="L9">
        <v>4</v>
      </c>
      <c r="M9">
        <v>1</v>
      </c>
      <c r="N9">
        <v>4</v>
      </c>
      <c r="O9">
        <v>5</v>
      </c>
      <c r="P9">
        <v>5</v>
      </c>
      <c r="Q9">
        <v>4</v>
      </c>
      <c r="R9">
        <v>2</v>
      </c>
      <c r="S9">
        <v>2</v>
      </c>
      <c r="T9">
        <v>4</v>
      </c>
      <c r="U9">
        <v>5</v>
      </c>
      <c r="V9">
        <v>5</v>
      </c>
      <c r="W9">
        <v>5</v>
      </c>
      <c r="X9">
        <v>5</v>
      </c>
      <c r="Z9" t="s">
        <v>30</v>
      </c>
    </row>
    <row r="10" spans="1:26" x14ac:dyDescent="0.3">
      <c r="A10" s="2">
        <v>45986.586130497693</v>
      </c>
      <c r="B10" t="s">
        <v>31</v>
      </c>
      <c r="C10">
        <v>1969</v>
      </c>
      <c r="D10" t="s">
        <v>32</v>
      </c>
      <c r="E10" t="s">
        <v>33</v>
      </c>
      <c r="F10" t="s">
        <v>43</v>
      </c>
      <c r="G10">
        <v>5</v>
      </c>
      <c r="H10">
        <v>5</v>
      </c>
      <c r="I10">
        <v>4</v>
      </c>
      <c r="J10">
        <v>5</v>
      </c>
      <c r="K10">
        <v>5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5</v>
      </c>
      <c r="X10">
        <v>5</v>
      </c>
      <c r="Z10" t="s">
        <v>44</v>
      </c>
    </row>
    <row r="11" spans="1:26" x14ac:dyDescent="0.3">
      <c r="A11" s="2">
        <v>45986.597218599527</v>
      </c>
      <c r="B11" t="s">
        <v>26</v>
      </c>
      <c r="C11">
        <v>1997</v>
      </c>
      <c r="D11" t="s">
        <v>32</v>
      </c>
      <c r="E11" t="s">
        <v>36</v>
      </c>
      <c r="F11" t="s">
        <v>39</v>
      </c>
      <c r="G11">
        <v>5</v>
      </c>
      <c r="H11">
        <v>5</v>
      </c>
      <c r="I11">
        <v>4</v>
      </c>
      <c r="J11">
        <v>4</v>
      </c>
      <c r="K11">
        <v>5</v>
      </c>
      <c r="L11">
        <v>5</v>
      </c>
      <c r="M11">
        <v>4</v>
      </c>
      <c r="N11">
        <v>2</v>
      </c>
      <c r="O11">
        <v>5</v>
      </c>
      <c r="P11">
        <v>5</v>
      </c>
      <c r="Q11">
        <v>5</v>
      </c>
      <c r="R11">
        <v>5</v>
      </c>
      <c r="S11">
        <v>4</v>
      </c>
      <c r="T11">
        <v>5</v>
      </c>
      <c r="U11">
        <v>5</v>
      </c>
      <c r="V11">
        <v>5</v>
      </c>
      <c r="W11">
        <v>5</v>
      </c>
      <c r="X11">
        <v>5</v>
      </c>
      <c r="Z11" t="s">
        <v>30</v>
      </c>
    </row>
    <row r="12" spans="1:26" x14ac:dyDescent="0.3">
      <c r="A12" s="2">
        <v>45986.683248182868</v>
      </c>
      <c r="B12" t="s">
        <v>26</v>
      </c>
      <c r="C12">
        <v>2002</v>
      </c>
      <c r="D12" t="s">
        <v>32</v>
      </c>
      <c r="E12" t="s">
        <v>28</v>
      </c>
      <c r="F12" t="s">
        <v>45</v>
      </c>
      <c r="G12">
        <v>5</v>
      </c>
      <c r="H12">
        <v>4</v>
      </c>
      <c r="I12">
        <v>3</v>
      </c>
      <c r="J12">
        <v>2</v>
      </c>
      <c r="K12">
        <v>2</v>
      </c>
      <c r="L12">
        <v>4</v>
      </c>
      <c r="M12">
        <v>2</v>
      </c>
      <c r="N12">
        <v>3</v>
      </c>
      <c r="O12">
        <v>5</v>
      </c>
      <c r="P12">
        <v>5</v>
      </c>
      <c r="Q12">
        <v>4</v>
      </c>
      <c r="R12">
        <v>4</v>
      </c>
      <c r="S12">
        <v>2</v>
      </c>
      <c r="T12">
        <v>3</v>
      </c>
      <c r="U12">
        <v>5</v>
      </c>
      <c r="V12">
        <v>5</v>
      </c>
      <c r="W12">
        <v>5</v>
      </c>
      <c r="X12">
        <v>5</v>
      </c>
      <c r="Z12" t="s">
        <v>30</v>
      </c>
    </row>
    <row r="13" spans="1:26" x14ac:dyDescent="0.3">
      <c r="A13" s="2">
        <v>45986.6906766088</v>
      </c>
      <c r="B13" t="s">
        <v>31</v>
      </c>
      <c r="C13">
        <v>2000</v>
      </c>
      <c r="D13" t="s">
        <v>27</v>
      </c>
      <c r="E13" t="s">
        <v>36</v>
      </c>
      <c r="F13" t="s">
        <v>46</v>
      </c>
      <c r="G13">
        <v>1</v>
      </c>
      <c r="H13">
        <v>3</v>
      </c>
      <c r="I13">
        <v>2</v>
      </c>
      <c r="J13">
        <v>3</v>
      </c>
      <c r="K13">
        <v>4</v>
      </c>
      <c r="L13">
        <v>4</v>
      </c>
      <c r="M13">
        <v>3</v>
      </c>
      <c r="N13">
        <v>4</v>
      </c>
      <c r="O13">
        <v>5</v>
      </c>
      <c r="P13">
        <v>2</v>
      </c>
      <c r="Q13">
        <v>4</v>
      </c>
      <c r="R13">
        <v>3</v>
      </c>
      <c r="S13">
        <v>2</v>
      </c>
      <c r="T13">
        <v>2</v>
      </c>
      <c r="U13">
        <v>4</v>
      </c>
      <c r="V13">
        <v>4</v>
      </c>
      <c r="W13">
        <v>4</v>
      </c>
      <c r="X13">
        <v>4</v>
      </c>
      <c r="Z13" t="s">
        <v>30</v>
      </c>
    </row>
    <row r="14" spans="1:26" x14ac:dyDescent="0.3">
      <c r="A14" s="2">
        <v>45986.782331527778</v>
      </c>
      <c r="B14" t="s">
        <v>26</v>
      </c>
      <c r="C14">
        <v>2003</v>
      </c>
      <c r="D14" t="s">
        <v>32</v>
      </c>
      <c r="E14" t="s">
        <v>28</v>
      </c>
      <c r="F14" t="s">
        <v>47</v>
      </c>
      <c r="G14">
        <v>4</v>
      </c>
      <c r="H14">
        <v>1</v>
      </c>
      <c r="I14">
        <v>5</v>
      </c>
      <c r="J14">
        <v>4</v>
      </c>
      <c r="K14">
        <v>4</v>
      </c>
      <c r="L14">
        <v>5</v>
      </c>
      <c r="M14">
        <v>3</v>
      </c>
      <c r="N14">
        <v>4</v>
      </c>
      <c r="O14">
        <v>5</v>
      </c>
      <c r="P14">
        <v>4</v>
      </c>
      <c r="Q14">
        <v>4</v>
      </c>
      <c r="R14">
        <v>5</v>
      </c>
      <c r="S14">
        <v>4</v>
      </c>
      <c r="T14">
        <v>3</v>
      </c>
      <c r="U14">
        <v>4</v>
      </c>
      <c r="V14">
        <v>5</v>
      </c>
      <c r="W14">
        <v>5</v>
      </c>
      <c r="X14">
        <v>5</v>
      </c>
      <c r="Z14" t="s">
        <v>30</v>
      </c>
    </row>
    <row r="15" spans="1:26" x14ac:dyDescent="0.3">
      <c r="A15" s="2">
        <v>45986.967109930563</v>
      </c>
      <c r="B15" t="s">
        <v>31</v>
      </c>
      <c r="C15">
        <v>2000</v>
      </c>
      <c r="D15" t="s">
        <v>40</v>
      </c>
      <c r="E15" t="s">
        <v>33</v>
      </c>
      <c r="F15" t="s">
        <v>48</v>
      </c>
      <c r="G15">
        <v>4</v>
      </c>
      <c r="H15">
        <v>4</v>
      </c>
      <c r="I15">
        <v>2</v>
      </c>
      <c r="J15">
        <v>3</v>
      </c>
      <c r="K15">
        <v>3</v>
      </c>
      <c r="L15">
        <v>5</v>
      </c>
      <c r="M15">
        <v>2</v>
      </c>
      <c r="N15">
        <v>4</v>
      </c>
      <c r="O15">
        <v>4</v>
      </c>
      <c r="P15">
        <v>3</v>
      </c>
      <c r="Q15">
        <v>4</v>
      </c>
      <c r="R15">
        <v>4</v>
      </c>
      <c r="S15">
        <v>3</v>
      </c>
      <c r="T15">
        <v>4</v>
      </c>
      <c r="U15">
        <v>3</v>
      </c>
      <c r="V15">
        <v>3</v>
      </c>
      <c r="W15">
        <v>5</v>
      </c>
      <c r="X15">
        <v>3</v>
      </c>
      <c r="Z15" t="s">
        <v>30</v>
      </c>
    </row>
    <row r="16" spans="1:26" x14ac:dyDescent="0.3">
      <c r="A16" s="2">
        <v>45988.190228159721</v>
      </c>
      <c r="B16" t="s">
        <v>31</v>
      </c>
      <c r="C16">
        <v>2000</v>
      </c>
      <c r="D16" t="s">
        <v>27</v>
      </c>
      <c r="E16" t="s">
        <v>33</v>
      </c>
      <c r="F16" t="s">
        <v>49</v>
      </c>
      <c r="G16">
        <v>4</v>
      </c>
      <c r="H16">
        <v>4</v>
      </c>
      <c r="I16">
        <v>4</v>
      </c>
      <c r="J16">
        <v>4</v>
      </c>
      <c r="K16">
        <v>4</v>
      </c>
      <c r="L16">
        <v>5</v>
      </c>
      <c r="M16">
        <v>4</v>
      </c>
      <c r="N16">
        <v>3</v>
      </c>
      <c r="O16">
        <v>4</v>
      </c>
      <c r="P16">
        <v>4</v>
      </c>
      <c r="Q16">
        <v>5</v>
      </c>
      <c r="R16">
        <v>4</v>
      </c>
      <c r="S16">
        <v>4</v>
      </c>
      <c r="T16">
        <v>4</v>
      </c>
      <c r="U16">
        <v>4</v>
      </c>
      <c r="V16">
        <v>4</v>
      </c>
      <c r="W16">
        <v>5</v>
      </c>
      <c r="X16">
        <v>5</v>
      </c>
      <c r="Z16" t="s">
        <v>30</v>
      </c>
    </row>
    <row r="17" spans="1:26" x14ac:dyDescent="0.3">
      <c r="A17" s="2">
        <v>45988.753530324073</v>
      </c>
      <c r="B17" t="s">
        <v>26</v>
      </c>
      <c r="C17">
        <v>2000</v>
      </c>
      <c r="D17" t="s">
        <v>27</v>
      </c>
      <c r="E17" t="s">
        <v>28</v>
      </c>
      <c r="F17" t="s">
        <v>50</v>
      </c>
      <c r="G17">
        <v>5</v>
      </c>
      <c r="H17">
        <v>5</v>
      </c>
      <c r="I17">
        <v>5</v>
      </c>
      <c r="J17">
        <v>4</v>
      </c>
      <c r="K17">
        <v>4</v>
      </c>
      <c r="L17">
        <v>5</v>
      </c>
      <c r="M17">
        <v>5</v>
      </c>
      <c r="N17">
        <v>4</v>
      </c>
      <c r="O17">
        <v>2</v>
      </c>
      <c r="P17">
        <v>2</v>
      </c>
      <c r="Q17">
        <v>4</v>
      </c>
      <c r="R17">
        <v>4</v>
      </c>
      <c r="S17">
        <v>4</v>
      </c>
      <c r="T17">
        <v>4</v>
      </c>
      <c r="U17">
        <v>3</v>
      </c>
      <c r="V17">
        <v>2</v>
      </c>
      <c r="W17">
        <v>5</v>
      </c>
      <c r="X17">
        <v>4</v>
      </c>
      <c r="Z17" t="s">
        <v>30</v>
      </c>
    </row>
    <row r="18" spans="1:26" x14ac:dyDescent="0.3">
      <c r="A18" s="2">
        <v>45988.760970243056</v>
      </c>
      <c r="B18" t="s">
        <v>26</v>
      </c>
      <c r="C18">
        <v>2000</v>
      </c>
      <c r="D18" t="s">
        <v>27</v>
      </c>
      <c r="E18" t="s">
        <v>28</v>
      </c>
      <c r="F18" t="s">
        <v>51</v>
      </c>
      <c r="G18">
        <v>1</v>
      </c>
      <c r="H18">
        <v>3</v>
      </c>
      <c r="I18">
        <v>3</v>
      </c>
      <c r="J18">
        <v>2</v>
      </c>
      <c r="K18">
        <v>2</v>
      </c>
      <c r="L18">
        <v>2</v>
      </c>
      <c r="M18">
        <v>2</v>
      </c>
      <c r="N18">
        <v>2</v>
      </c>
      <c r="O18">
        <v>4</v>
      </c>
      <c r="P18">
        <v>2</v>
      </c>
      <c r="Q18">
        <v>2</v>
      </c>
      <c r="R18">
        <v>2</v>
      </c>
      <c r="S18">
        <v>1</v>
      </c>
      <c r="T18">
        <v>1</v>
      </c>
      <c r="U18">
        <v>2</v>
      </c>
      <c r="V18">
        <v>2</v>
      </c>
      <c r="W18">
        <v>2</v>
      </c>
      <c r="X18">
        <v>2</v>
      </c>
      <c r="Z18" t="s">
        <v>30</v>
      </c>
    </row>
    <row r="19" spans="1:26" x14ac:dyDescent="0.3">
      <c r="A19" s="2">
        <v>45988.761811168981</v>
      </c>
      <c r="B19" t="s">
        <v>31</v>
      </c>
      <c r="C19">
        <v>2001</v>
      </c>
      <c r="D19" t="s">
        <v>32</v>
      </c>
      <c r="E19" t="s">
        <v>36</v>
      </c>
      <c r="F19" t="s">
        <v>52</v>
      </c>
      <c r="G19">
        <v>3</v>
      </c>
      <c r="H19">
        <v>3</v>
      </c>
      <c r="I19">
        <v>4</v>
      </c>
      <c r="J19">
        <v>4</v>
      </c>
      <c r="K19">
        <v>4</v>
      </c>
      <c r="L19">
        <v>3</v>
      </c>
      <c r="M19">
        <v>4</v>
      </c>
      <c r="N19">
        <v>3</v>
      </c>
      <c r="O19">
        <v>4</v>
      </c>
      <c r="P19">
        <v>4</v>
      </c>
      <c r="Q19">
        <v>3</v>
      </c>
      <c r="R19">
        <v>4</v>
      </c>
      <c r="S19">
        <v>4</v>
      </c>
      <c r="T19">
        <v>3</v>
      </c>
      <c r="U19">
        <v>4</v>
      </c>
      <c r="V19">
        <v>3</v>
      </c>
      <c r="W19">
        <v>5</v>
      </c>
      <c r="X19">
        <v>5</v>
      </c>
      <c r="Z19" t="s">
        <v>30</v>
      </c>
    </row>
    <row r="20" spans="1:26" x14ac:dyDescent="0.3">
      <c r="A20" s="2">
        <v>45988.763476747677</v>
      </c>
      <c r="B20" t="s">
        <v>26</v>
      </c>
      <c r="C20">
        <v>1979</v>
      </c>
      <c r="D20" t="s">
        <v>40</v>
      </c>
      <c r="E20" t="s">
        <v>53</v>
      </c>
      <c r="F20" t="s">
        <v>37</v>
      </c>
      <c r="G20">
        <v>5</v>
      </c>
      <c r="H20">
        <v>5</v>
      </c>
      <c r="I20">
        <v>5</v>
      </c>
      <c r="J20">
        <v>4</v>
      </c>
      <c r="K20">
        <v>5</v>
      </c>
      <c r="L20">
        <v>5</v>
      </c>
      <c r="M20">
        <v>4</v>
      </c>
      <c r="N20">
        <v>3</v>
      </c>
      <c r="O20">
        <v>3</v>
      </c>
      <c r="P20">
        <v>5</v>
      </c>
      <c r="Q20">
        <v>4</v>
      </c>
      <c r="R20">
        <v>3</v>
      </c>
      <c r="S20">
        <v>3</v>
      </c>
      <c r="T20">
        <v>4</v>
      </c>
      <c r="U20">
        <v>5</v>
      </c>
      <c r="V20">
        <v>5</v>
      </c>
      <c r="W20">
        <v>5</v>
      </c>
      <c r="X20">
        <v>3</v>
      </c>
      <c r="Z20" t="s">
        <v>44</v>
      </c>
    </row>
    <row r="21" spans="1:26" x14ac:dyDescent="0.3">
      <c r="A21" s="2">
        <v>45988.783275162037</v>
      </c>
      <c r="B21" t="s">
        <v>31</v>
      </c>
      <c r="C21">
        <v>1976</v>
      </c>
      <c r="D21" t="s">
        <v>32</v>
      </c>
      <c r="E21" t="s">
        <v>33</v>
      </c>
      <c r="F21" t="s">
        <v>54</v>
      </c>
      <c r="G21">
        <v>4</v>
      </c>
      <c r="H21">
        <v>3</v>
      </c>
      <c r="I21">
        <v>4</v>
      </c>
      <c r="J21">
        <v>5</v>
      </c>
      <c r="K21">
        <v>3</v>
      </c>
      <c r="L21">
        <v>4</v>
      </c>
      <c r="M21">
        <v>2</v>
      </c>
      <c r="N21">
        <v>4</v>
      </c>
      <c r="O21">
        <v>5</v>
      </c>
      <c r="P21">
        <v>2</v>
      </c>
      <c r="Q21">
        <v>3</v>
      </c>
      <c r="R21">
        <v>3</v>
      </c>
      <c r="S21">
        <v>4</v>
      </c>
      <c r="T21">
        <v>4</v>
      </c>
      <c r="U21">
        <v>4</v>
      </c>
      <c r="V21">
        <v>4</v>
      </c>
      <c r="W21">
        <v>4</v>
      </c>
      <c r="X21">
        <v>5</v>
      </c>
      <c r="Z21" t="s">
        <v>44</v>
      </c>
    </row>
    <row r="22" spans="1:26" x14ac:dyDescent="0.3">
      <c r="A22" s="2">
        <v>45988.788322037028</v>
      </c>
      <c r="B22" t="s">
        <v>26</v>
      </c>
      <c r="C22">
        <v>1975</v>
      </c>
      <c r="D22" t="s">
        <v>55</v>
      </c>
      <c r="E22" t="s">
        <v>33</v>
      </c>
      <c r="F22" t="s">
        <v>56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4</v>
      </c>
      <c r="N22">
        <v>1</v>
      </c>
      <c r="O22">
        <v>5</v>
      </c>
      <c r="P22">
        <v>5</v>
      </c>
      <c r="Q22">
        <v>1</v>
      </c>
      <c r="R22">
        <v>5</v>
      </c>
      <c r="S22">
        <v>5</v>
      </c>
      <c r="T22">
        <v>5</v>
      </c>
      <c r="U22">
        <v>1</v>
      </c>
      <c r="V22">
        <v>5</v>
      </c>
      <c r="W22">
        <v>5</v>
      </c>
      <c r="X22">
        <v>5</v>
      </c>
      <c r="Z22" t="s">
        <v>44</v>
      </c>
    </row>
    <row r="23" spans="1:26" x14ac:dyDescent="0.3">
      <c r="A23" s="2">
        <v>45988.791401979157</v>
      </c>
      <c r="B23" t="s">
        <v>26</v>
      </c>
      <c r="C23">
        <v>1980</v>
      </c>
      <c r="D23" t="s">
        <v>40</v>
      </c>
      <c r="E23" t="s">
        <v>33</v>
      </c>
      <c r="F23" t="s">
        <v>57</v>
      </c>
      <c r="G23">
        <v>5</v>
      </c>
      <c r="H23">
        <v>5</v>
      </c>
      <c r="I23">
        <v>5</v>
      </c>
      <c r="J23">
        <v>4</v>
      </c>
      <c r="K23">
        <v>5</v>
      </c>
      <c r="L23">
        <v>5</v>
      </c>
      <c r="M23">
        <v>3</v>
      </c>
      <c r="N23">
        <v>1</v>
      </c>
      <c r="O23">
        <v>5</v>
      </c>
      <c r="P23">
        <v>5</v>
      </c>
      <c r="Q23">
        <v>1</v>
      </c>
      <c r="R23">
        <v>3</v>
      </c>
      <c r="S23">
        <v>4</v>
      </c>
      <c r="T23">
        <v>4</v>
      </c>
      <c r="U23">
        <v>1</v>
      </c>
      <c r="V23">
        <v>5</v>
      </c>
      <c r="W23">
        <v>5</v>
      </c>
      <c r="X23">
        <v>5</v>
      </c>
      <c r="Z23" t="s">
        <v>44</v>
      </c>
    </row>
    <row r="24" spans="1:26" x14ac:dyDescent="0.3">
      <c r="A24" s="2">
        <v>45988.79744234954</v>
      </c>
      <c r="B24" t="s">
        <v>31</v>
      </c>
      <c r="C24">
        <v>1980</v>
      </c>
      <c r="D24" t="s">
        <v>40</v>
      </c>
      <c r="E24" t="s">
        <v>33</v>
      </c>
      <c r="F24" t="s">
        <v>58</v>
      </c>
      <c r="G24">
        <v>5</v>
      </c>
      <c r="H24">
        <v>4</v>
      </c>
      <c r="I24">
        <v>5</v>
      </c>
      <c r="J24">
        <v>4</v>
      </c>
      <c r="K24">
        <v>5</v>
      </c>
      <c r="L24">
        <v>5</v>
      </c>
      <c r="M24">
        <v>3</v>
      </c>
      <c r="N24">
        <v>1</v>
      </c>
      <c r="O24">
        <v>5</v>
      </c>
      <c r="P24">
        <v>4</v>
      </c>
      <c r="Q24">
        <v>2</v>
      </c>
      <c r="R24">
        <v>4</v>
      </c>
      <c r="S24">
        <v>4</v>
      </c>
      <c r="T24">
        <v>3</v>
      </c>
      <c r="U24">
        <v>2</v>
      </c>
      <c r="V24">
        <v>5</v>
      </c>
      <c r="W24">
        <v>5</v>
      </c>
      <c r="X24">
        <v>4</v>
      </c>
      <c r="Z24" t="s">
        <v>44</v>
      </c>
    </row>
    <row r="25" spans="1:26" x14ac:dyDescent="0.3">
      <c r="A25" s="2">
        <v>45988.862619884261</v>
      </c>
      <c r="B25" t="s">
        <v>31</v>
      </c>
      <c r="C25">
        <v>1998</v>
      </c>
      <c r="D25" t="s">
        <v>40</v>
      </c>
      <c r="E25" t="s">
        <v>33</v>
      </c>
      <c r="F25" t="s">
        <v>59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2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2</v>
      </c>
      <c r="Z25" t="s">
        <v>30</v>
      </c>
    </row>
    <row r="26" spans="1:26" x14ac:dyDescent="0.3">
      <c r="A26" s="2">
        <v>45988.863462777779</v>
      </c>
      <c r="B26" t="s">
        <v>31</v>
      </c>
      <c r="C26">
        <v>1998</v>
      </c>
      <c r="D26" t="s">
        <v>40</v>
      </c>
      <c r="E26" t="s">
        <v>33</v>
      </c>
      <c r="F26" t="s">
        <v>60</v>
      </c>
      <c r="G26">
        <v>4</v>
      </c>
      <c r="H26">
        <v>2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2</v>
      </c>
      <c r="P26">
        <v>2</v>
      </c>
      <c r="Q26">
        <v>2</v>
      </c>
      <c r="R26">
        <v>2</v>
      </c>
      <c r="S26">
        <v>2</v>
      </c>
      <c r="T26">
        <v>4</v>
      </c>
      <c r="U26">
        <v>4</v>
      </c>
      <c r="V26">
        <v>4</v>
      </c>
      <c r="W26">
        <v>4</v>
      </c>
      <c r="X26">
        <v>4</v>
      </c>
      <c r="Z26" t="s">
        <v>30</v>
      </c>
    </row>
    <row r="27" spans="1:26" x14ac:dyDescent="0.3">
      <c r="A27" s="2">
        <v>45989.155159270827</v>
      </c>
      <c r="B27" t="s">
        <v>31</v>
      </c>
      <c r="C27">
        <v>1999</v>
      </c>
      <c r="D27" t="s">
        <v>32</v>
      </c>
      <c r="E27" t="s">
        <v>33</v>
      </c>
      <c r="F27" t="s">
        <v>61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Z27" t="s">
        <v>30</v>
      </c>
    </row>
    <row r="28" spans="1:26" x14ac:dyDescent="0.3">
      <c r="A28" s="2">
        <v>45990.736574097216</v>
      </c>
      <c r="B28" t="s">
        <v>26</v>
      </c>
      <c r="C28">
        <v>1965</v>
      </c>
      <c r="D28" t="s">
        <v>40</v>
      </c>
      <c r="E28" t="s">
        <v>53</v>
      </c>
      <c r="F28" t="s">
        <v>62</v>
      </c>
      <c r="G28">
        <v>4</v>
      </c>
      <c r="H28">
        <v>5</v>
      </c>
      <c r="I28">
        <v>3</v>
      </c>
      <c r="J28">
        <v>5</v>
      </c>
      <c r="K28">
        <v>3</v>
      </c>
      <c r="L28">
        <v>4</v>
      </c>
      <c r="M28">
        <v>2</v>
      </c>
      <c r="N28">
        <v>5</v>
      </c>
      <c r="O28">
        <v>4</v>
      </c>
      <c r="P28">
        <v>2</v>
      </c>
      <c r="Q28">
        <v>5</v>
      </c>
      <c r="R28">
        <v>3</v>
      </c>
      <c r="S28">
        <v>4</v>
      </c>
      <c r="T28">
        <v>3</v>
      </c>
      <c r="U28">
        <v>5</v>
      </c>
      <c r="V28">
        <v>3</v>
      </c>
      <c r="W28">
        <v>4</v>
      </c>
      <c r="X28">
        <v>4</v>
      </c>
      <c r="Z28" t="s">
        <v>44</v>
      </c>
    </row>
    <row r="29" spans="1:26" x14ac:dyDescent="0.3">
      <c r="A29" s="2">
        <v>45990.750044305547</v>
      </c>
      <c r="B29" t="s">
        <v>26</v>
      </c>
      <c r="C29">
        <v>1973</v>
      </c>
      <c r="D29" t="s">
        <v>40</v>
      </c>
      <c r="E29" t="s">
        <v>33</v>
      </c>
      <c r="F29" t="s">
        <v>63</v>
      </c>
      <c r="G29">
        <v>5</v>
      </c>
      <c r="H29">
        <v>5</v>
      </c>
      <c r="I29">
        <v>5</v>
      </c>
      <c r="J29">
        <v>4</v>
      </c>
      <c r="K29">
        <v>4</v>
      </c>
      <c r="L29">
        <v>5</v>
      </c>
      <c r="M29">
        <v>3</v>
      </c>
      <c r="N29">
        <v>1</v>
      </c>
      <c r="O29">
        <v>5</v>
      </c>
      <c r="P29">
        <v>4</v>
      </c>
      <c r="Q29">
        <v>5</v>
      </c>
      <c r="R29">
        <v>5</v>
      </c>
      <c r="S29">
        <v>2</v>
      </c>
      <c r="T29">
        <v>2</v>
      </c>
      <c r="U29">
        <v>3</v>
      </c>
      <c r="V29">
        <v>4</v>
      </c>
      <c r="W29">
        <v>4</v>
      </c>
      <c r="X29">
        <v>5</v>
      </c>
      <c r="Z29" t="s">
        <v>44</v>
      </c>
    </row>
    <row r="30" spans="1:26" x14ac:dyDescent="0.3">
      <c r="A30" s="2">
        <v>45990.754083148153</v>
      </c>
      <c r="B30" t="s">
        <v>26</v>
      </c>
      <c r="C30">
        <v>1971</v>
      </c>
      <c r="D30" t="s">
        <v>40</v>
      </c>
      <c r="E30" t="s">
        <v>33</v>
      </c>
      <c r="F30" t="s">
        <v>64</v>
      </c>
      <c r="G30">
        <v>4</v>
      </c>
      <c r="H30">
        <v>5</v>
      </c>
      <c r="I30">
        <v>4</v>
      </c>
      <c r="J30">
        <v>2</v>
      </c>
      <c r="K30">
        <v>4</v>
      </c>
      <c r="L30">
        <v>4</v>
      </c>
      <c r="M30">
        <v>4</v>
      </c>
      <c r="N30">
        <v>2</v>
      </c>
      <c r="O30">
        <v>4</v>
      </c>
      <c r="P30">
        <v>4</v>
      </c>
      <c r="Q30">
        <v>2</v>
      </c>
      <c r="R30">
        <v>2</v>
      </c>
      <c r="S30">
        <v>2</v>
      </c>
      <c r="T30">
        <v>2</v>
      </c>
      <c r="U30">
        <v>2</v>
      </c>
      <c r="V30">
        <v>5</v>
      </c>
      <c r="W30">
        <v>5</v>
      </c>
      <c r="X30">
        <v>5</v>
      </c>
      <c r="Z30" t="s">
        <v>44</v>
      </c>
    </row>
    <row r="31" spans="1:26" x14ac:dyDescent="0.3">
      <c r="A31" s="2">
        <v>45990.756526134261</v>
      </c>
      <c r="B31" t="s">
        <v>26</v>
      </c>
      <c r="C31">
        <v>1979</v>
      </c>
      <c r="D31" t="s">
        <v>27</v>
      </c>
      <c r="E31" t="s">
        <v>53</v>
      </c>
      <c r="F31" t="s">
        <v>65</v>
      </c>
      <c r="G31">
        <v>4</v>
      </c>
      <c r="H31">
        <v>3</v>
      </c>
      <c r="I31">
        <v>3</v>
      </c>
      <c r="J31">
        <v>4</v>
      </c>
      <c r="K31">
        <v>4</v>
      </c>
      <c r="L31">
        <v>3</v>
      </c>
      <c r="M31">
        <v>2</v>
      </c>
      <c r="N31">
        <v>4</v>
      </c>
      <c r="O31">
        <v>3</v>
      </c>
      <c r="P31">
        <v>5</v>
      </c>
      <c r="Q31">
        <v>3</v>
      </c>
      <c r="R31">
        <v>4</v>
      </c>
      <c r="S31">
        <v>5</v>
      </c>
      <c r="T31">
        <v>5</v>
      </c>
      <c r="U31">
        <v>3</v>
      </c>
      <c r="V31">
        <v>3</v>
      </c>
      <c r="W31">
        <v>5</v>
      </c>
      <c r="X31">
        <v>2</v>
      </c>
      <c r="Z31" t="s">
        <v>44</v>
      </c>
    </row>
    <row r="32" spans="1:26" x14ac:dyDescent="0.3">
      <c r="A32" s="2">
        <v>45990.765937685188</v>
      </c>
      <c r="B32" t="s">
        <v>26</v>
      </c>
      <c r="C32">
        <v>1980</v>
      </c>
      <c r="D32" t="s">
        <v>55</v>
      </c>
      <c r="E32" t="s">
        <v>33</v>
      </c>
      <c r="F32" t="s">
        <v>66</v>
      </c>
      <c r="G32">
        <v>5</v>
      </c>
      <c r="H32">
        <v>5</v>
      </c>
      <c r="I32">
        <v>5</v>
      </c>
      <c r="J32">
        <v>4</v>
      </c>
      <c r="K32">
        <v>5</v>
      </c>
      <c r="L32">
        <v>5</v>
      </c>
      <c r="M32">
        <v>4</v>
      </c>
      <c r="N32">
        <v>2</v>
      </c>
      <c r="O32">
        <v>5</v>
      </c>
      <c r="P32">
        <v>4</v>
      </c>
      <c r="Q32">
        <v>4</v>
      </c>
      <c r="R32">
        <v>4</v>
      </c>
      <c r="S32">
        <v>2</v>
      </c>
      <c r="T32">
        <v>4</v>
      </c>
      <c r="U32">
        <v>2</v>
      </c>
      <c r="V32">
        <v>5</v>
      </c>
      <c r="W32">
        <v>5</v>
      </c>
      <c r="X32">
        <v>5</v>
      </c>
      <c r="Z32" t="s">
        <v>44</v>
      </c>
    </row>
    <row r="33" spans="1:26" x14ac:dyDescent="0.3">
      <c r="A33" s="2">
        <v>45990.923850937499</v>
      </c>
      <c r="B33" t="s">
        <v>31</v>
      </c>
      <c r="C33">
        <v>1999</v>
      </c>
      <c r="D33" t="s">
        <v>27</v>
      </c>
      <c r="E33" t="s">
        <v>28</v>
      </c>
      <c r="F33" t="s">
        <v>67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2</v>
      </c>
      <c r="O33">
        <v>5</v>
      </c>
      <c r="P33">
        <v>3</v>
      </c>
      <c r="Q33">
        <v>3</v>
      </c>
      <c r="R33">
        <v>4</v>
      </c>
      <c r="S33">
        <v>3</v>
      </c>
      <c r="T33">
        <v>4</v>
      </c>
      <c r="U33">
        <v>3</v>
      </c>
      <c r="V33">
        <v>3</v>
      </c>
      <c r="W33">
        <v>5</v>
      </c>
      <c r="X33">
        <v>5</v>
      </c>
      <c r="Y33">
        <v>0</v>
      </c>
      <c r="Z33" t="s">
        <v>30</v>
      </c>
    </row>
    <row r="34" spans="1:26" x14ac:dyDescent="0.3">
      <c r="A34" s="2">
        <v>45991.573769861112</v>
      </c>
      <c r="B34" t="s">
        <v>31</v>
      </c>
      <c r="C34">
        <v>2001</v>
      </c>
      <c r="D34" t="s">
        <v>27</v>
      </c>
      <c r="E34" t="s">
        <v>28</v>
      </c>
      <c r="F34" t="s">
        <v>68</v>
      </c>
      <c r="G34">
        <v>5</v>
      </c>
      <c r="H34">
        <v>4</v>
      </c>
      <c r="I34">
        <v>4</v>
      </c>
      <c r="J34">
        <v>3</v>
      </c>
      <c r="K34">
        <v>4</v>
      </c>
      <c r="L34">
        <v>4</v>
      </c>
      <c r="M34">
        <v>2</v>
      </c>
      <c r="N34">
        <v>5</v>
      </c>
      <c r="O34">
        <v>2</v>
      </c>
      <c r="P34">
        <v>3</v>
      </c>
      <c r="Q34">
        <v>2</v>
      </c>
      <c r="R34">
        <v>4</v>
      </c>
      <c r="S34">
        <v>2</v>
      </c>
      <c r="T34">
        <v>2</v>
      </c>
      <c r="U34">
        <v>2</v>
      </c>
      <c r="V34">
        <v>4</v>
      </c>
      <c r="W34">
        <v>4</v>
      </c>
      <c r="X34">
        <v>4</v>
      </c>
      <c r="Y34">
        <v>0</v>
      </c>
      <c r="Z34" t="s">
        <v>30</v>
      </c>
    </row>
    <row r="35" spans="1:26" x14ac:dyDescent="0.3">
      <c r="A35" s="2">
        <v>45991.579791261567</v>
      </c>
      <c r="B35" t="s">
        <v>31</v>
      </c>
      <c r="C35">
        <v>2005</v>
      </c>
      <c r="D35" t="s">
        <v>32</v>
      </c>
      <c r="E35" t="s">
        <v>36</v>
      </c>
      <c r="F35" t="s">
        <v>69</v>
      </c>
      <c r="G35">
        <v>5</v>
      </c>
      <c r="H35">
        <v>5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5</v>
      </c>
      <c r="P35">
        <v>2</v>
      </c>
      <c r="Q35">
        <v>2</v>
      </c>
      <c r="R35">
        <v>4</v>
      </c>
      <c r="S35">
        <v>4</v>
      </c>
      <c r="T35">
        <v>4</v>
      </c>
      <c r="U35">
        <v>4</v>
      </c>
      <c r="V35">
        <v>3</v>
      </c>
      <c r="W35">
        <v>5</v>
      </c>
      <c r="X35">
        <v>5</v>
      </c>
      <c r="Y35">
        <v>0</v>
      </c>
      <c r="Z35" t="s">
        <v>30</v>
      </c>
    </row>
    <row r="36" spans="1:26" x14ac:dyDescent="0.3">
      <c r="A36" s="2">
        <v>45991.581113009262</v>
      </c>
      <c r="B36" t="s">
        <v>26</v>
      </c>
      <c r="C36">
        <v>2002</v>
      </c>
      <c r="D36" t="s">
        <v>32</v>
      </c>
      <c r="E36" t="s">
        <v>36</v>
      </c>
      <c r="F36" t="s">
        <v>70</v>
      </c>
      <c r="G36">
        <v>5</v>
      </c>
      <c r="H36">
        <v>4</v>
      </c>
      <c r="I36">
        <v>4</v>
      </c>
      <c r="J36">
        <v>4</v>
      </c>
      <c r="K36">
        <v>5</v>
      </c>
      <c r="L36">
        <v>5</v>
      </c>
      <c r="M36">
        <v>4</v>
      </c>
      <c r="N36">
        <v>4</v>
      </c>
      <c r="O36">
        <v>3</v>
      </c>
      <c r="P36">
        <v>2</v>
      </c>
      <c r="Q36">
        <v>2</v>
      </c>
      <c r="R36">
        <v>4</v>
      </c>
      <c r="S36">
        <v>3</v>
      </c>
      <c r="T36">
        <v>2</v>
      </c>
      <c r="U36">
        <v>4</v>
      </c>
      <c r="V36">
        <v>3</v>
      </c>
      <c r="W36">
        <v>5</v>
      </c>
      <c r="X36">
        <v>5</v>
      </c>
      <c r="Y36">
        <v>0</v>
      </c>
      <c r="Z36" t="s">
        <v>30</v>
      </c>
    </row>
    <row r="37" spans="1:26" x14ac:dyDescent="0.3">
      <c r="A37" s="2">
        <v>45991.584143969907</v>
      </c>
      <c r="B37" t="s">
        <v>31</v>
      </c>
      <c r="C37">
        <v>1999</v>
      </c>
      <c r="D37" t="s">
        <v>27</v>
      </c>
      <c r="E37" t="s">
        <v>28</v>
      </c>
      <c r="F37" t="s">
        <v>71</v>
      </c>
      <c r="G37">
        <v>5</v>
      </c>
      <c r="H37">
        <v>5</v>
      </c>
      <c r="I37">
        <v>4</v>
      </c>
      <c r="J37">
        <v>3</v>
      </c>
      <c r="K37">
        <v>5</v>
      </c>
      <c r="L37">
        <v>5</v>
      </c>
      <c r="M37">
        <v>4</v>
      </c>
      <c r="N37">
        <v>4</v>
      </c>
      <c r="O37">
        <v>2</v>
      </c>
      <c r="P37">
        <v>2</v>
      </c>
      <c r="Q37">
        <v>2</v>
      </c>
      <c r="R37">
        <v>4</v>
      </c>
      <c r="S37">
        <v>2</v>
      </c>
      <c r="T37">
        <v>2</v>
      </c>
      <c r="U37">
        <v>4</v>
      </c>
      <c r="V37">
        <v>2</v>
      </c>
      <c r="W37">
        <v>5</v>
      </c>
      <c r="X37">
        <v>5</v>
      </c>
      <c r="Y37">
        <v>0</v>
      </c>
      <c r="Z37" t="s">
        <v>30</v>
      </c>
    </row>
    <row r="38" spans="1:26" x14ac:dyDescent="0.3">
      <c r="A38" s="2">
        <v>45991.586666701391</v>
      </c>
      <c r="B38" t="s">
        <v>26</v>
      </c>
      <c r="C38">
        <v>1998</v>
      </c>
      <c r="D38" t="s">
        <v>27</v>
      </c>
      <c r="E38" t="s">
        <v>28</v>
      </c>
      <c r="F38" t="s">
        <v>72</v>
      </c>
      <c r="G38">
        <v>4</v>
      </c>
      <c r="H38">
        <v>4</v>
      </c>
      <c r="I38">
        <v>4</v>
      </c>
      <c r="J38">
        <v>4</v>
      </c>
      <c r="K38">
        <v>5</v>
      </c>
      <c r="L38">
        <v>5</v>
      </c>
      <c r="M38">
        <v>4</v>
      </c>
      <c r="N38">
        <v>4</v>
      </c>
      <c r="O38">
        <v>3</v>
      </c>
      <c r="P38">
        <v>2</v>
      </c>
      <c r="Q38">
        <v>4</v>
      </c>
      <c r="R38">
        <v>4</v>
      </c>
      <c r="S38">
        <v>2</v>
      </c>
      <c r="T38">
        <v>2</v>
      </c>
      <c r="U38">
        <v>4</v>
      </c>
      <c r="V38">
        <v>2</v>
      </c>
      <c r="W38">
        <v>5</v>
      </c>
      <c r="X38">
        <v>5</v>
      </c>
      <c r="Y38">
        <v>0</v>
      </c>
      <c r="Z38" t="s">
        <v>30</v>
      </c>
    </row>
    <row r="39" spans="1:26" x14ac:dyDescent="0.3">
      <c r="A39" s="2">
        <v>45991.591226863427</v>
      </c>
      <c r="B39" t="s">
        <v>31</v>
      </c>
      <c r="C39">
        <v>2003</v>
      </c>
      <c r="D39" t="s">
        <v>32</v>
      </c>
      <c r="E39" t="s">
        <v>28</v>
      </c>
      <c r="F39" t="s">
        <v>73</v>
      </c>
      <c r="G39">
        <v>5</v>
      </c>
      <c r="H39">
        <v>4</v>
      </c>
      <c r="I39">
        <v>4</v>
      </c>
      <c r="J39">
        <v>3</v>
      </c>
      <c r="K39">
        <v>4</v>
      </c>
      <c r="L39">
        <v>4</v>
      </c>
      <c r="M39">
        <v>4</v>
      </c>
      <c r="N39">
        <v>3</v>
      </c>
      <c r="O39">
        <v>3</v>
      </c>
      <c r="P39">
        <v>2</v>
      </c>
      <c r="Q39">
        <v>2</v>
      </c>
      <c r="R39">
        <v>2</v>
      </c>
      <c r="S39">
        <v>2</v>
      </c>
      <c r="T39">
        <v>3</v>
      </c>
      <c r="U39">
        <v>4</v>
      </c>
      <c r="V39">
        <v>3</v>
      </c>
      <c r="W39">
        <v>5</v>
      </c>
      <c r="X39">
        <v>5</v>
      </c>
      <c r="Y39">
        <v>0</v>
      </c>
      <c r="Z39" t="s">
        <v>30</v>
      </c>
    </row>
  </sheetData>
  <autoFilter ref="A1:Z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830A-4CBD-4B64-86A2-BE4A082C9849}">
  <dimension ref="A1:Z12"/>
  <sheetViews>
    <sheetView topLeftCell="F1" workbookViewId="0">
      <selection activeCell="O1" sqref="O1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45986.586130497693</v>
      </c>
      <c r="B2" t="s">
        <v>31</v>
      </c>
      <c r="C2">
        <v>1969</v>
      </c>
      <c r="D2" t="s">
        <v>32</v>
      </c>
      <c r="E2" t="s">
        <v>33</v>
      </c>
      <c r="F2" t="s">
        <v>43</v>
      </c>
      <c r="G2">
        <v>5</v>
      </c>
      <c r="H2">
        <v>5</v>
      </c>
      <c r="I2">
        <v>4</v>
      </c>
      <c r="J2">
        <v>5</v>
      </c>
      <c r="K2">
        <v>5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5</v>
      </c>
      <c r="X2">
        <v>5</v>
      </c>
      <c r="Z2" t="s">
        <v>44</v>
      </c>
    </row>
    <row r="3" spans="1:26" x14ac:dyDescent="0.3">
      <c r="A3" s="2">
        <v>45988.763476747677</v>
      </c>
      <c r="B3" t="s">
        <v>26</v>
      </c>
      <c r="C3">
        <v>1979</v>
      </c>
      <c r="D3" t="s">
        <v>40</v>
      </c>
      <c r="E3" t="s">
        <v>53</v>
      </c>
      <c r="F3" t="s">
        <v>37</v>
      </c>
      <c r="G3">
        <v>5</v>
      </c>
      <c r="H3">
        <v>5</v>
      </c>
      <c r="I3">
        <v>5</v>
      </c>
      <c r="J3">
        <v>4</v>
      </c>
      <c r="K3">
        <v>5</v>
      </c>
      <c r="L3">
        <v>5</v>
      </c>
      <c r="M3">
        <v>4</v>
      </c>
      <c r="N3">
        <v>3</v>
      </c>
      <c r="O3">
        <v>3</v>
      </c>
      <c r="P3">
        <v>5</v>
      </c>
      <c r="Q3">
        <v>4</v>
      </c>
      <c r="R3">
        <v>3</v>
      </c>
      <c r="S3">
        <v>3</v>
      </c>
      <c r="T3">
        <v>4</v>
      </c>
      <c r="U3">
        <v>5</v>
      </c>
      <c r="V3">
        <v>5</v>
      </c>
      <c r="W3">
        <v>5</v>
      </c>
      <c r="X3">
        <v>3</v>
      </c>
      <c r="Z3" t="s">
        <v>44</v>
      </c>
    </row>
    <row r="4" spans="1:26" x14ac:dyDescent="0.3">
      <c r="A4" s="2">
        <v>45988.783275162037</v>
      </c>
      <c r="B4" t="s">
        <v>31</v>
      </c>
      <c r="C4">
        <v>1976</v>
      </c>
      <c r="D4" t="s">
        <v>32</v>
      </c>
      <c r="E4" t="s">
        <v>33</v>
      </c>
      <c r="F4" t="s">
        <v>54</v>
      </c>
      <c r="G4">
        <v>4</v>
      </c>
      <c r="H4">
        <v>3</v>
      </c>
      <c r="I4">
        <v>4</v>
      </c>
      <c r="J4">
        <v>5</v>
      </c>
      <c r="K4">
        <v>3</v>
      </c>
      <c r="L4">
        <v>4</v>
      </c>
      <c r="M4">
        <v>2</v>
      </c>
      <c r="N4">
        <v>4</v>
      </c>
      <c r="O4">
        <v>5</v>
      </c>
      <c r="P4">
        <v>2</v>
      </c>
      <c r="Q4">
        <v>3</v>
      </c>
      <c r="R4">
        <v>3</v>
      </c>
      <c r="S4">
        <v>4</v>
      </c>
      <c r="T4">
        <v>4</v>
      </c>
      <c r="U4">
        <v>4</v>
      </c>
      <c r="V4">
        <v>4</v>
      </c>
      <c r="W4">
        <v>4</v>
      </c>
      <c r="X4">
        <v>5</v>
      </c>
      <c r="Z4" t="s">
        <v>44</v>
      </c>
    </row>
    <row r="5" spans="1:26" x14ac:dyDescent="0.3">
      <c r="A5" s="2">
        <v>45988.788322037028</v>
      </c>
      <c r="B5" t="s">
        <v>26</v>
      </c>
      <c r="C5">
        <v>1975</v>
      </c>
      <c r="D5" t="s">
        <v>55</v>
      </c>
      <c r="E5" t="s">
        <v>33</v>
      </c>
      <c r="F5" t="s">
        <v>56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4</v>
      </c>
      <c r="N5">
        <v>1</v>
      </c>
      <c r="O5">
        <v>5</v>
      </c>
      <c r="P5">
        <v>5</v>
      </c>
      <c r="Q5">
        <v>1</v>
      </c>
      <c r="R5">
        <v>5</v>
      </c>
      <c r="S5">
        <v>5</v>
      </c>
      <c r="T5">
        <v>5</v>
      </c>
      <c r="U5">
        <v>1</v>
      </c>
      <c r="V5">
        <v>5</v>
      </c>
      <c r="W5">
        <v>5</v>
      </c>
      <c r="X5">
        <v>5</v>
      </c>
      <c r="Z5" t="s">
        <v>44</v>
      </c>
    </row>
    <row r="6" spans="1:26" x14ac:dyDescent="0.3">
      <c r="A6" s="2">
        <v>45988.791401979157</v>
      </c>
      <c r="B6" t="s">
        <v>26</v>
      </c>
      <c r="C6">
        <v>1980</v>
      </c>
      <c r="D6" t="s">
        <v>40</v>
      </c>
      <c r="E6" t="s">
        <v>33</v>
      </c>
      <c r="F6" t="s">
        <v>57</v>
      </c>
      <c r="G6">
        <v>5</v>
      </c>
      <c r="H6">
        <v>5</v>
      </c>
      <c r="I6">
        <v>5</v>
      </c>
      <c r="J6">
        <v>4</v>
      </c>
      <c r="K6">
        <v>5</v>
      </c>
      <c r="L6">
        <v>5</v>
      </c>
      <c r="M6">
        <v>3</v>
      </c>
      <c r="N6">
        <v>1</v>
      </c>
      <c r="O6">
        <v>5</v>
      </c>
      <c r="P6">
        <v>5</v>
      </c>
      <c r="Q6">
        <v>1</v>
      </c>
      <c r="R6">
        <v>3</v>
      </c>
      <c r="S6">
        <v>4</v>
      </c>
      <c r="T6">
        <v>4</v>
      </c>
      <c r="U6">
        <v>1</v>
      </c>
      <c r="V6">
        <v>5</v>
      </c>
      <c r="W6">
        <v>5</v>
      </c>
      <c r="X6">
        <v>5</v>
      </c>
      <c r="Z6" t="s">
        <v>44</v>
      </c>
    </row>
    <row r="7" spans="1:26" x14ac:dyDescent="0.3">
      <c r="A7" s="2">
        <v>45988.79744234954</v>
      </c>
      <c r="B7" t="s">
        <v>31</v>
      </c>
      <c r="C7">
        <v>1980</v>
      </c>
      <c r="D7" t="s">
        <v>40</v>
      </c>
      <c r="E7" t="s">
        <v>33</v>
      </c>
      <c r="F7" t="s">
        <v>58</v>
      </c>
      <c r="G7">
        <v>5</v>
      </c>
      <c r="H7">
        <v>4</v>
      </c>
      <c r="I7">
        <v>5</v>
      </c>
      <c r="J7">
        <v>4</v>
      </c>
      <c r="K7">
        <v>5</v>
      </c>
      <c r="L7">
        <v>5</v>
      </c>
      <c r="M7">
        <v>3</v>
      </c>
      <c r="N7">
        <v>1</v>
      </c>
      <c r="O7">
        <v>5</v>
      </c>
      <c r="P7">
        <v>4</v>
      </c>
      <c r="Q7">
        <v>2</v>
      </c>
      <c r="R7">
        <v>4</v>
      </c>
      <c r="S7">
        <v>4</v>
      </c>
      <c r="T7">
        <v>3</v>
      </c>
      <c r="U7">
        <v>2</v>
      </c>
      <c r="V7">
        <v>5</v>
      </c>
      <c r="W7">
        <v>5</v>
      </c>
      <c r="X7">
        <v>4</v>
      </c>
      <c r="Z7" t="s">
        <v>44</v>
      </c>
    </row>
    <row r="8" spans="1:26" x14ac:dyDescent="0.3">
      <c r="A8" s="2">
        <v>45990.736574097216</v>
      </c>
      <c r="B8" t="s">
        <v>26</v>
      </c>
      <c r="C8">
        <v>1965</v>
      </c>
      <c r="D8" t="s">
        <v>40</v>
      </c>
      <c r="E8" t="s">
        <v>53</v>
      </c>
      <c r="F8" t="s">
        <v>62</v>
      </c>
      <c r="G8">
        <v>4</v>
      </c>
      <c r="H8">
        <v>5</v>
      </c>
      <c r="I8">
        <v>3</v>
      </c>
      <c r="J8">
        <v>5</v>
      </c>
      <c r="K8">
        <v>3</v>
      </c>
      <c r="L8">
        <v>4</v>
      </c>
      <c r="M8">
        <v>2</v>
      </c>
      <c r="N8">
        <v>5</v>
      </c>
      <c r="O8">
        <v>4</v>
      </c>
      <c r="P8">
        <v>2</v>
      </c>
      <c r="Q8">
        <v>5</v>
      </c>
      <c r="R8">
        <v>3</v>
      </c>
      <c r="S8">
        <v>4</v>
      </c>
      <c r="T8">
        <v>3</v>
      </c>
      <c r="U8">
        <v>5</v>
      </c>
      <c r="V8">
        <v>3</v>
      </c>
      <c r="W8">
        <v>4</v>
      </c>
      <c r="X8">
        <v>4</v>
      </c>
      <c r="Z8" t="s">
        <v>44</v>
      </c>
    </row>
    <row r="9" spans="1:26" x14ac:dyDescent="0.3">
      <c r="A9" s="2">
        <v>45990.750044305547</v>
      </c>
      <c r="B9" t="s">
        <v>26</v>
      </c>
      <c r="C9">
        <v>1973</v>
      </c>
      <c r="D9" t="s">
        <v>40</v>
      </c>
      <c r="E9" t="s">
        <v>33</v>
      </c>
      <c r="F9" t="s">
        <v>63</v>
      </c>
      <c r="G9">
        <v>5</v>
      </c>
      <c r="H9">
        <v>5</v>
      </c>
      <c r="I9">
        <v>5</v>
      </c>
      <c r="J9">
        <v>4</v>
      </c>
      <c r="K9">
        <v>4</v>
      </c>
      <c r="L9">
        <v>5</v>
      </c>
      <c r="M9">
        <v>3</v>
      </c>
      <c r="N9">
        <v>1</v>
      </c>
      <c r="O9">
        <v>5</v>
      </c>
      <c r="P9">
        <v>4</v>
      </c>
      <c r="Q9">
        <v>5</v>
      </c>
      <c r="R9">
        <v>5</v>
      </c>
      <c r="S9">
        <v>2</v>
      </c>
      <c r="T9">
        <v>2</v>
      </c>
      <c r="U9">
        <v>3</v>
      </c>
      <c r="V9">
        <v>4</v>
      </c>
      <c r="W9">
        <v>4</v>
      </c>
      <c r="X9">
        <v>5</v>
      </c>
      <c r="Z9" t="s">
        <v>44</v>
      </c>
    </row>
    <row r="10" spans="1:26" x14ac:dyDescent="0.3">
      <c r="A10" s="2">
        <v>45990.754083148153</v>
      </c>
      <c r="B10" t="s">
        <v>26</v>
      </c>
      <c r="C10">
        <v>1971</v>
      </c>
      <c r="D10" t="s">
        <v>40</v>
      </c>
      <c r="E10" t="s">
        <v>33</v>
      </c>
      <c r="F10" t="s">
        <v>64</v>
      </c>
      <c r="G10">
        <v>4</v>
      </c>
      <c r="H10">
        <v>5</v>
      </c>
      <c r="I10">
        <v>4</v>
      </c>
      <c r="J10">
        <v>2</v>
      </c>
      <c r="K10">
        <v>4</v>
      </c>
      <c r="L10">
        <v>4</v>
      </c>
      <c r="M10">
        <v>4</v>
      </c>
      <c r="N10">
        <v>2</v>
      </c>
      <c r="O10">
        <v>4</v>
      </c>
      <c r="P10">
        <v>4</v>
      </c>
      <c r="Q10">
        <v>2</v>
      </c>
      <c r="R10">
        <v>2</v>
      </c>
      <c r="S10">
        <v>2</v>
      </c>
      <c r="T10">
        <v>2</v>
      </c>
      <c r="U10">
        <v>2</v>
      </c>
      <c r="V10">
        <v>5</v>
      </c>
      <c r="W10">
        <v>5</v>
      </c>
      <c r="X10">
        <v>5</v>
      </c>
      <c r="Z10" t="s">
        <v>44</v>
      </c>
    </row>
    <row r="11" spans="1:26" x14ac:dyDescent="0.3">
      <c r="A11" s="2">
        <v>45990.756526134261</v>
      </c>
      <c r="B11" t="s">
        <v>26</v>
      </c>
      <c r="C11">
        <v>1979</v>
      </c>
      <c r="D11" t="s">
        <v>27</v>
      </c>
      <c r="E11" t="s">
        <v>53</v>
      </c>
      <c r="F11" t="s">
        <v>65</v>
      </c>
      <c r="G11">
        <v>4</v>
      </c>
      <c r="H11">
        <v>3</v>
      </c>
      <c r="I11">
        <v>3</v>
      </c>
      <c r="J11">
        <v>4</v>
      </c>
      <c r="K11">
        <v>4</v>
      </c>
      <c r="L11">
        <v>3</v>
      </c>
      <c r="M11">
        <v>2</v>
      </c>
      <c r="N11">
        <v>4</v>
      </c>
      <c r="O11">
        <v>3</v>
      </c>
      <c r="P11">
        <v>5</v>
      </c>
      <c r="Q11">
        <v>3</v>
      </c>
      <c r="R11">
        <v>4</v>
      </c>
      <c r="S11">
        <v>5</v>
      </c>
      <c r="T11">
        <v>5</v>
      </c>
      <c r="U11">
        <v>3</v>
      </c>
      <c r="V11">
        <v>3</v>
      </c>
      <c r="W11">
        <v>5</v>
      </c>
      <c r="X11">
        <v>2</v>
      </c>
      <c r="Z11" t="s">
        <v>44</v>
      </c>
    </row>
    <row r="12" spans="1:26" x14ac:dyDescent="0.3">
      <c r="A12" s="2">
        <v>45990.765937685188</v>
      </c>
      <c r="B12" t="s">
        <v>26</v>
      </c>
      <c r="C12">
        <v>1980</v>
      </c>
      <c r="D12" t="s">
        <v>55</v>
      </c>
      <c r="E12" t="s">
        <v>33</v>
      </c>
      <c r="F12" t="s">
        <v>66</v>
      </c>
      <c r="G12">
        <v>5</v>
      </c>
      <c r="H12">
        <v>5</v>
      </c>
      <c r="I12">
        <v>5</v>
      </c>
      <c r="J12">
        <v>4</v>
      </c>
      <c r="K12">
        <v>5</v>
      </c>
      <c r="L12">
        <v>5</v>
      </c>
      <c r="M12">
        <v>4</v>
      </c>
      <c r="N12">
        <v>2</v>
      </c>
      <c r="O12">
        <v>5</v>
      </c>
      <c r="P12">
        <v>4</v>
      </c>
      <c r="Q12">
        <v>4</v>
      </c>
      <c r="R12">
        <v>4</v>
      </c>
      <c r="S12">
        <v>2</v>
      </c>
      <c r="T12">
        <v>4</v>
      </c>
      <c r="U12">
        <v>2</v>
      </c>
      <c r="V12">
        <v>5</v>
      </c>
      <c r="W12">
        <v>5</v>
      </c>
      <c r="X12">
        <v>5</v>
      </c>
      <c r="Z1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7708-7C5F-487D-B92C-47B225827132}">
  <dimension ref="A1:Z28"/>
  <sheetViews>
    <sheetView topLeftCell="F2" workbookViewId="0">
      <selection activeCell="Z1" sqref="Z1"/>
    </sheetView>
  </sheetViews>
  <sheetFormatPr defaultRowHeight="14.4" x14ac:dyDescent="0.3"/>
  <cols>
    <col min="6" max="6" width="13.554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45986.557008622687</v>
      </c>
      <c r="B2" t="s">
        <v>26</v>
      </c>
      <c r="C2">
        <v>2003</v>
      </c>
      <c r="D2" t="s">
        <v>27</v>
      </c>
      <c r="E2" t="s">
        <v>28</v>
      </c>
      <c r="F2" t="s">
        <v>29</v>
      </c>
      <c r="G2">
        <v>5</v>
      </c>
      <c r="H2">
        <v>5</v>
      </c>
      <c r="I2">
        <v>5</v>
      </c>
      <c r="J2">
        <v>4</v>
      </c>
      <c r="K2">
        <v>4</v>
      </c>
      <c r="L2">
        <v>5</v>
      </c>
      <c r="M2">
        <v>5</v>
      </c>
      <c r="N2">
        <v>5</v>
      </c>
      <c r="O2">
        <v>4</v>
      </c>
      <c r="P2">
        <v>4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Z2" t="s">
        <v>30</v>
      </c>
    </row>
    <row r="3" spans="1:26" x14ac:dyDescent="0.3">
      <c r="A3" s="2">
        <v>45986.558098692127</v>
      </c>
      <c r="B3" t="s">
        <v>31</v>
      </c>
      <c r="C3">
        <v>1997</v>
      </c>
      <c r="D3" t="s">
        <v>32</v>
      </c>
      <c r="E3" t="s">
        <v>33</v>
      </c>
      <c r="F3" t="s">
        <v>34</v>
      </c>
      <c r="G3">
        <v>5</v>
      </c>
      <c r="H3">
        <v>5</v>
      </c>
      <c r="I3">
        <v>1</v>
      </c>
      <c r="J3">
        <v>3</v>
      </c>
      <c r="K3">
        <v>1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3</v>
      </c>
      <c r="S3">
        <v>3</v>
      </c>
      <c r="T3">
        <v>5</v>
      </c>
      <c r="U3">
        <v>5</v>
      </c>
      <c r="V3">
        <v>5</v>
      </c>
      <c r="W3">
        <v>5</v>
      </c>
      <c r="X3">
        <v>5</v>
      </c>
      <c r="Z3" t="s">
        <v>30</v>
      </c>
    </row>
    <row r="4" spans="1:26" x14ac:dyDescent="0.3">
      <c r="A4" s="2">
        <v>45986.559162581019</v>
      </c>
      <c r="B4" t="s">
        <v>26</v>
      </c>
      <c r="C4">
        <v>1997</v>
      </c>
      <c r="D4" t="s">
        <v>27</v>
      </c>
      <c r="E4" t="s">
        <v>28</v>
      </c>
      <c r="F4" t="s">
        <v>35</v>
      </c>
      <c r="G4">
        <v>5</v>
      </c>
      <c r="H4">
        <v>5</v>
      </c>
      <c r="I4">
        <v>4</v>
      </c>
      <c r="J4">
        <v>4</v>
      </c>
      <c r="K4">
        <v>4</v>
      </c>
      <c r="L4">
        <v>5</v>
      </c>
      <c r="M4">
        <v>4</v>
      </c>
      <c r="N4">
        <v>4</v>
      </c>
      <c r="O4">
        <v>5</v>
      </c>
      <c r="P4">
        <v>5</v>
      </c>
      <c r="Q4">
        <v>4</v>
      </c>
      <c r="R4">
        <v>4</v>
      </c>
      <c r="S4">
        <v>4</v>
      </c>
      <c r="T4">
        <v>2</v>
      </c>
      <c r="U4">
        <v>4</v>
      </c>
      <c r="V4">
        <v>4</v>
      </c>
      <c r="W4">
        <v>4</v>
      </c>
      <c r="X4">
        <v>4</v>
      </c>
      <c r="Z4" t="s">
        <v>30</v>
      </c>
    </row>
    <row r="5" spans="1:26" x14ac:dyDescent="0.3">
      <c r="A5" s="2">
        <v>45986.559711388887</v>
      </c>
      <c r="B5" t="s">
        <v>26</v>
      </c>
      <c r="C5">
        <v>2004</v>
      </c>
      <c r="D5" t="s">
        <v>32</v>
      </c>
      <c r="E5" t="s">
        <v>36</v>
      </c>
      <c r="F5" t="s">
        <v>37</v>
      </c>
      <c r="G5">
        <v>3</v>
      </c>
      <c r="H5">
        <v>3</v>
      </c>
      <c r="I5">
        <v>3</v>
      </c>
      <c r="J5">
        <v>4</v>
      </c>
      <c r="K5">
        <v>3</v>
      </c>
      <c r="L5">
        <v>4</v>
      </c>
      <c r="M5">
        <v>4</v>
      </c>
      <c r="N5">
        <v>4</v>
      </c>
      <c r="O5">
        <v>4</v>
      </c>
      <c r="P5">
        <v>5</v>
      </c>
      <c r="Q5">
        <v>4</v>
      </c>
      <c r="R5">
        <v>2</v>
      </c>
      <c r="S5">
        <v>3</v>
      </c>
      <c r="T5">
        <v>4</v>
      </c>
      <c r="U5">
        <v>3</v>
      </c>
      <c r="V5">
        <v>4</v>
      </c>
      <c r="W5">
        <v>4</v>
      </c>
      <c r="X5">
        <v>2</v>
      </c>
      <c r="Z5" t="s">
        <v>30</v>
      </c>
    </row>
    <row r="6" spans="1:26" x14ac:dyDescent="0.3">
      <c r="A6" s="2">
        <v>45986.567757719909</v>
      </c>
      <c r="B6" t="s">
        <v>31</v>
      </c>
      <c r="C6">
        <v>1997</v>
      </c>
      <c r="D6" t="s">
        <v>27</v>
      </c>
      <c r="E6" t="s">
        <v>33</v>
      </c>
      <c r="F6" t="s">
        <v>38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3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Z6" t="s">
        <v>30</v>
      </c>
    </row>
    <row r="7" spans="1:26" x14ac:dyDescent="0.3">
      <c r="A7" s="2">
        <v>45986.569609560182</v>
      </c>
      <c r="B7" t="s">
        <v>31</v>
      </c>
      <c r="C7">
        <v>1997</v>
      </c>
      <c r="D7" t="s">
        <v>32</v>
      </c>
      <c r="E7" t="s">
        <v>28</v>
      </c>
      <c r="F7" t="s">
        <v>39</v>
      </c>
      <c r="G7">
        <v>4</v>
      </c>
      <c r="H7">
        <v>5</v>
      </c>
      <c r="I7">
        <v>4</v>
      </c>
      <c r="J7">
        <v>5</v>
      </c>
      <c r="K7">
        <v>4</v>
      </c>
      <c r="L7">
        <v>5</v>
      </c>
      <c r="M7">
        <v>4</v>
      </c>
      <c r="N7">
        <v>2</v>
      </c>
      <c r="O7">
        <v>2</v>
      </c>
      <c r="P7">
        <v>3</v>
      </c>
      <c r="Q7">
        <v>2</v>
      </c>
      <c r="R7">
        <v>4</v>
      </c>
      <c r="S7">
        <v>3</v>
      </c>
      <c r="T7">
        <v>2</v>
      </c>
      <c r="U7">
        <v>3</v>
      </c>
      <c r="V7">
        <v>3</v>
      </c>
      <c r="W7">
        <v>1</v>
      </c>
      <c r="X7">
        <v>3</v>
      </c>
      <c r="Z7" t="s">
        <v>30</v>
      </c>
    </row>
    <row r="8" spans="1:26" x14ac:dyDescent="0.3">
      <c r="A8" s="2">
        <v>45986.575531064816</v>
      </c>
      <c r="B8" t="s">
        <v>31</v>
      </c>
      <c r="C8">
        <v>2007</v>
      </c>
      <c r="D8" t="s">
        <v>40</v>
      </c>
      <c r="E8" t="s">
        <v>36</v>
      </c>
      <c r="F8" t="s">
        <v>41</v>
      </c>
      <c r="G8">
        <v>4</v>
      </c>
      <c r="H8">
        <v>4</v>
      </c>
      <c r="I8">
        <v>5</v>
      </c>
      <c r="J8">
        <v>1</v>
      </c>
      <c r="K8">
        <v>2</v>
      </c>
      <c r="L8">
        <v>4</v>
      </c>
      <c r="M8">
        <v>4</v>
      </c>
      <c r="N8">
        <v>1</v>
      </c>
      <c r="O8">
        <v>5</v>
      </c>
      <c r="P8">
        <v>4</v>
      </c>
      <c r="Q8">
        <v>4</v>
      </c>
      <c r="R8">
        <v>2</v>
      </c>
      <c r="S8">
        <v>1</v>
      </c>
      <c r="T8">
        <v>5</v>
      </c>
      <c r="U8">
        <v>5</v>
      </c>
      <c r="V8">
        <v>5</v>
      </c>
      <c r="W8">
        <v>5</v>
      </c>
      <c r="X8">
        <v>5</v>
      </c>
      <c r="Z8" t="s">
        <v>30</v>
      </c>
    </row>
    <row r="9" spans="1:26" x14ac:dyDescent="0.3">
      <c r="A9" s="2">
        <v>45986.579851319453</v>
      </c>
      <c r="B9" t="s">
        <v>31</v>
      </c>
      <c r="C9">
        <v>1997</v>
      </c>
      <c r="D9" t="s">
        <v>27</v>
      </c>
      <c r="E9" t="s">
        <v>36</v>
      </c>
      <c r="F9" t="s">
        <v>42</v>
      </c>
      <c r="G9">
        <v>4</v>
      </c>
      <c r="H9">
        <v>2</v>
      </c>
      <c r="I9">
        <v>5</v>
      </c>
      <c r="J9">
        <v>2</v>
      </c>
      <c r="K9">
        <v>5</v>
      </c>
      <c r="L9">
        <v>4</v>
      </c>
      <c r="M9">
        <v>1</v>
      </c>
      <c r="N9">
        <v>4</v>
      </c>
      <c r="O9">
        <v>5</v>
      </c>
      <c r="P9">
        <v>5</v>
      </c>
      <c r="Q9">
        <v>4</v>
      </c>
      <c r="R9">
        <v>2</v>
      </c>
      <c r="S9">
        <v>2</v>
      </c>
      <c r="T9">
        <v>4</v>
      </c>
      <c r="U9">
        <v>5</v>
      </c>
      <c r="V9">
        <v>5</v>
      </c>
      <c r="W9">
        <v>5</v>
      </c>
      <c r="X9">
        <v>5</v>
      </c>
      <c r="Z9" t="s">
        <v>30</v>
      </c>
    </row>
    <row r="10" spans="1:26" x14ac:dyDescent="0.3">
      <c r="A10" s="2">
        <v>45986.597218599527</v>
      </c>
      <c r="B10" t="s">
        <v>26</v>
      </c>
      <c r="C10">
        <v>1997</v>
      </c>
      <c r="D10" t="s">
        <v>32</v>
      </c>
      <c r="E10" t="s">
        <v>36</v>
      </c>
      <c r="F10" t="s">
        <v>39</v>
      </c>
      <c r="G10">
        <v>5</v>
      </c>
      <c r="H10">
        <v>5</v>
      </c>
      <c r="I10">
        <v>4</v>
      </c>
      <c r="J10">
        <v>4</v>
      </c>
      <c r="K10">
        <v>5</v>
      </c>
      <c r="L10">
        <v>5</v>
      </c>
      <c r="M10">
        <v>4</v>
      </c>
      <c r="N10">
        <v>2</v>
      </c>
      <c r="O10">
        <v>5</v>
      </c>
      <c r="P10">
        <v>5</v>
      </c>
      <c r="Q10">
        <v>5</v>
      </c>
      <c r="R10">
        <v>5</v>
      </c>
      <c r="S10">
        <v>4</v>
      </c>
      <c r="T10">
        <v>5</v>
      </c>
      <c r="U10">
        <v>5</v>
      </c>
      <c r="V10">
        <v>5</v>
      </c>
      <c r="W10">
        <v>5</v>
      </c>
      <c r="X10">
        <v>5</v>
      </c>
      <c r="Z10" t="s">
        <v>30</v>
      </c>
    </row>
    <row r="11" spans="1:26" x14ac:dyDescent="0.3">
      <c r="A11" s="2">
        <v>45986.683248182868</v>
      </c>
      <c r="B11" t="s">
        <v>26</v>
      </c>
      <c r="C11">
        <v>2002</v>
      </c>
      <c r="D11" t="s">
        <v>32</v>
      </c>
      <c r="E11" t="s">
        <v>28</v>
      </c>
      <c r="F11" t="s">
        <v>45</v>
      </c>
      <c r="G11">
        <v>5</v>
      </c>
      <c r="H11">
        <v>4</v>
      </c>
      <c r="I11">
        <v>3</v>
      </c>
      <c r="J11">
        <v>2</v>
      </c>
      <c r="K11">
        <v>2</v>
      </c>
      <c r="L11">
        <v>4</v>
      </c>
      <c r="M11">
        <v>2</v>
      </c>
      <c r="N11">
        <v>3</v>
      </c>
      <c r="O11">
        <v>5</v>
      </c>
      <c r="P11">
        <v>5</v>
      </c>
      <c r="Q11">
        <v>4</v>
      </c>
      <c r="R11">
        <v>4</v>
      </c>
      <c r="S11">
        <v>2</v>
      </c>
      <c r="T11">
        <v>3</v>
      </c>
      <c r="U11">
        <v>5</v>
      </c>
      <c r="V11">
        <v>5</v>
      </c>
      <c r="W11">
        <v>5</v>
      </c>
      <c r="X11">
        <v>5</v>
      </c>
      <c r="Z11" t="s">
        <v>30</v>
      </c>
    </row>
    <row r="12" spans="1:26" x14ac:dyDescent="0.3">
      <c r="A12" s="2">
        <v>45986.6906766088</v>
      </c>
      <c r="B12" t="s">
        <v>31</v>
      </c>
      <c r="C12">
        <v>2000</v>
      </c>
      <c r="D12" t="s">
        <v>27</v>
      </c>
      <c r="E12" t="s">
        <v>36</v>
      </c>
      <c r="F12" t="s">
        <v>46</v>
      </c>
      <c r="G12">
        <v>1</v>
      </c>
      <c r="H12">
        <v>3</v>
      </c>
      <c r="I12">
        <v>2</v>
      </c>
      <c r="J12">
        <v>3</v>
      </c>
      <c r="K12">
        <v>4</v>
      </c>
      <c r="L12">
        <v>4</v>
      </c>
      <c r="M12">
        <v>3</v>
      </c>
      <c r="N12">
        <v>4</v>
      </c>
      <c r="O12">
        <v>5</v>
      </c>
      <c r="P12">
        <v>2</v>
      </c>
      <c r="Q12">
        <v>4</v>
      </c>
      <c r="R12">
        <v>3</v>
      </c>
      <c r="S12">
        <v>2</v>
      </c>
      <c r="T12">
        <v>2</v>
      </c>
      <c r="U12">
        <v>4</v>
      </c>
      <c r="V12">
        <v>4</v>
      </c>
      <c r="W12">
        <v>4</v>
      </c>
      <c r="X12">
        <v>4</v>
      </c>
      <c r="Z12" t="s">
        <v>30</v>
      </c>
    </row>
    <row r="13" spans="1:26" x14ac:dyDescent="0.3">
      <c r="A13" s="2">
        <v>45986.782331527778</v>
      </c>
      <c r="B13" t="s">
        <v>26</v>
      </c>
      <c r="C13">
        <v>2003</v>
      </c>
      <c r="D13" t="s">
        <v>32</v>
      </c>
      <c r="E13" t="s">
        <v>28</v>
      </c>
      <c r="F13" t="s">
        <v>47</v>
      </c>
      <c r="G13">
        <v>4</v>
      </c>
      <c r="H13">
        <v>1</v>
      </c>
      <c r="I13">
        <v>5</v>
      </c>
      <c r="J13">
        <v>4</v>
      </c>
      <c r="K13">
        <v>4</v>
      </c>
      <c r="L13">
        <v>5</v>
      </c>
      <c r="M13">
        <v>3</v>
      </c>
      <c r="N13">
        <v>4</v>
      </c>
      <c r="O13">
        <v>5</v>
      </c>
      <c r="P13">
        <v>4</v>
      </c>
      <c r="Q13">
        <v>4</v>
      </c>
      <c r="R13">
        <v>5</v>
      </c>
      <c r="S13">
        <v>4</v>
      </c>
      <c r="T13">
        <v>3</v>
      </c>
      <c r="U13">
        <v>4</v>
      </c>
      <c r="V13">
        <v>5</v>
      </c>
      <c r="W13">
        <v>5</v>
      </c>
      <c r="X13">
        <v>5</v>
      </c>
      <c r="Z13" t="s">
        <v>30</v>
      </c>
    </row>
    <row r="14" spans="1:26" x14ac:dyDescent="0.3">
      <c r="A14" s="2">
        <v>45986.967109930563</v>
      </c>
      <c r="B14" t="s">
        <v>31</v>
      </c>
      <c r="C14">
        <v>2000</v>
      </c>
      <c r="D14" t="s">
        <v>40</v>
      </c>
      <c r="E14" t="s">
        <v>33</v>
      </c>
      <c r="F14" t="s">
        <v>48</v>
      </c>
      <c r="G14">
        <v>4</v>
      </c>
      <c r="H14">
        <v>4</v>
      </c>
      <c r="I14">
        <v>2</v>
      </c>
      <c r="J14">
        <v>3</v>
      </c>
      <c r="K14">
        <v>3</v>
      </c>
      <c r="L14">
        <v>5</v>
      </c>
      <c r="M14">
        <v>2</v>
      </c>
      <c r="N14">
        <v>4</v>
      </c>
      <c r="O14">
        <v>4</v>
      </c>
      <c r="P14">
        <v>3</v>
      </c>
      <c r="Q14">
        <v>4</v>
      </c>
      <c r="R14">
        <v>4</v>
      </c>
      <c r="S14">
        <v>3</v>
      </c>
      <c r="T14">
        <v>4</v>
      </c>
      <c r="U14">
        <v>3</v>
      </c>
      <c r="V14">
        <v>3</v>
      </c>
      <c r="W14">
        <v>5</v>
      </c>
      <c r="X14">
        <v>3</v>
      </c>
      <c r="Z14" t="s">
        <v>30</v>
      </c>
    </row>
    <row r="15" spans="1:26" x14ac:dyDescent="0.3">
      <c r="A15" s="2">
        <v>45988.190228159721</v>
      </c>
      <c r="B15" t="s">
        <v>31</v>
      </c>
      <c r="C15">
        <v>2000</v>
      </c>
      <c r="D15" t="s">
        <v>27</v>
      </c>
      <c r="E15" t="s">
        <v>33</v>
      </c>
      <c r="F15" t="s">
        <v>49</v>
      </c>
      <c r="G15">
        <v>4</v>
      </c>
      <c r="H15">
        <v>4</v>
      </c>
      <c r="I15">
        <v>4</v>
      </c>
      <c r="J15">
        <v>4</v>
      </c>
      <c r="K15">
        <v>4</v>
      </c>
      <c r="L15">
        <v>5</v>
      </c>
      <c r="M15">
        <v>4</v>
      </c>
      <c r="N15">
        <v>3</v>
      </c>
      <c r="O15">
        <v>4</v>
      </c>
      <c r="P15">
        <v>4</v>
      </c>
      <c r="Q15">
        <v>5</v>
      </c>
      <c r="R15">
        <v>4</v>
      </c>
      <c r="S15">
        <v>4</v>
      </c>
      <c r="T15">
        <v>4</v>
      </c>
      <c r="U15">
        <v>4</v>
      </c>
      <c r="V15">
        <v>4</v>
      </c>
      <c r="W15">
        <v>5</v>
      </c>
      <c r="X15">
        <v>5</v>
      </c>
      <c r="Z15" t="s">
        <v>30</v>
      </c>
    </row>
    <row r="16" spans="1:26" x14ac:dyDescent="0.3">
      <c r="A16" s="2">
        <v>45988.753530324073</v>
      </c>
      <c r="B16" t="s">
        <v>26</v>
      </c>
      <c r="C16">
        <v>2000</v>
      </c>
      <c r="D16" t="s">
        <v>27</v>
      </c>
      <c r="E16" t="s">
        <v>28</v>
      </c>
      <c r="F16" t="s">
        <v>50</v>
      </c>
      <c r="G16">
        <v>5</v>
      </c>
      <c r="H16">
        <v>5</v>
      </c>
      <c r="I16">
        <v>5</v>
      </c>
      <c r="J16">
        <v>4</v>
      </c>
      <c r="K16">
        <v>4</v>
      </c>
      <c r="L16">
        <v>5</v>
      </c>
      <c r="M16">
        <v>5</v>
      </c>
      <c r="N16">
        <v>4</v>
      </c>
      <c r="O16">
        <v>2</v>
      </c>
      <c r="P16">
        <v>2</v>
      </c>
      <c r="Q16">
        <v>4</v>
      </c>
      <c r="R16">
        <v>4</v>
      </c>
      <c r="S16">
        <v>4</v>
      </c>
      <c r="T16">
        <v>4</v>
      </c>
      <c r="U16">
        <v>3</v>
      </c>
      <c r="V16">
        <v>2</v>
      </c>
      <c r="W16">
        <v>5</v>
      </c>
      <c r="X16">
        <v>4</v>
      </c>
      <c r="Z16" t="s">
        <v>30</v>
      </c>
    </row>
    <row r="17" spans="1:26" x14ac:dyDescent="0.3">
      <c r="A17" s="2">
        <v>45988.760970243056</v>
      </c>
      <c r="B17" t="s">
        <v>26</v>
      </c>
      <c r="C17">
        <v>2000</v>
      </c>
      <c r="D17" t="s">
        <v>27</v>
      </c>
      <c r="E17" t="s">
        <v>28</v>
      </c>
      <c r="F17" t="s">
        <v>51</v>
      </c>
      <c r="G17">
        <v>1</v>
      </c>
      <c r="H17">
        <v>3</v>
      </c>
      <c r="I17">
        <v>3</v>
      </c>
      <c r="J17">
        <v>2</v>
      </c>
      <c r="K17">
        <v>2</v>
      </c>
      <c r="L17">
        <v>2</v>
      </c>
      <c r="M17">
        <v>2</v>
      </c>
      <c r="N17">
        <v>2</v>
      </c>
      <c r="O17">
        <v>4</v>
      </c>
      <c r="P17">
        <v>2</v>
      </c>
      <c r="Q17">
        <v>2</v>
      </c>
      <c r="R17">
        <v>2</v>
      </c>
      <c r="S17">
        <v>1</v>
      </c>
      <c r="T17">
        <v>1</v>
      </c>
      <c r="U17">
        <v>2</v>
      </c>
      <c r="V17">
        <v>2</v>
      </c>
      <c r="W17">
        <v>2</v>
      </c>
      <c r="X17">
        <v>2</v>
      </c>
      <c r="Z17" t="s">
        <v>30</v>
      </c>
    </row>
    <row r="18" spans="1:26" x14ac:dyDescent="0.3">
      <c r="A18" s="2">
        <v>45988.761811168981</v>
      </c>
      <c r="B18" t="s">
        <v>31</v>
      </c>
      <c r="C18">
        <v>2001</v>
      </c>
      <c r="D18" t="s">
        <v>32</v>
      </c>
      <c r="E18" t="s">
        <v>36</v>
      </c>
      <c r="F18" t="s">
        <v>52</v>
      </c>
      <c r="G18">
        <v>3</v>
      </c>
      <c r="H18">
        <v>3</v>
      </c>
      <c r="I18">
        <v>4</v>
      </c>
      <c r="J18">
        <v>4</v>
      </c>
      <c r="K18">
        <v>4</v>
      </c>
      <c r="L18">
        <v>3</v>
      </c>
      <c r="M18">
        <v>4</v>
      </c>
      <c r="N18">
        <v>3</v>
      </c>
      <c r="O18">
        <v>4</v>
      </c>
      <c r="P18">
        <v>4</v>
      </c>
      <c r="Q18">
        <v>3</v>
      </c>
      <c r="R18">
        <v>4</v>
      </c>
      <c r="S18">
        <v>4</v>
      </c>
      <c r="T18">
        <v>3</v>
      </c>
      <c r="U18">
        <v>4</v>
      </c>
      <c r="V18">
        <v>3</v>
      </c>
      <c r="W18">
        <v>5</v>
      </c>
      <c r="X18">
        <v>5</v>
      </c>
      <c r="Z18" t="s">
        <v>30</v>
      </c>
    </row>
    <row r="19" spans="1:26" x14ac:dyDescent="0.3">
      <c r="A19" s="2">
        <v>45988.862619884261</v>
      </c>
      <c r="B19" t="s">
        <v>31</v>
      </c>
      <c r="C19">
        <v>1998</v>
      </c>
      <c r="D19" t="s">
        <v>40</v>
      </c>
      <c r="E19" t="s">
        <v>33</v>
      </c>
      <c r="F19" t="s">
        <v>59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2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2</v>
      </c>
      <c r="Z19" t="s">
        <v>30</v>
      </c>
    </row>
    <row r="20" spans="1:26" x14ac:dyDescent="0.3">
      <c r="A20" s="2">
        <v>45988.863462777779</v>
      </c>
      <c r="B20" t="s">
        <v>31</v>
      </c>
      <c r="C20">
        <v>1998</v>
      </c>
      <c r="D20" t="s">
        <v>40</v>
      </c>
      <c r="E20" t="s">
        <v>33</v>
      </c>
      <c r="F20" t="s">
        <v>60</v>
      </c>
      <c r="G20">
        <v>4</v>
      </c>
      <c r="H20">
        <v>2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2</v>
      </c>
      <c r="P20">
        <v>2</v>
      </c>
      <c r="Q20">
        <v>2</v>
      </c>
      <c r="R20">
        <v>2</v>
      </c>
      <c r="S20">
        <v>2</v>
      </c>
      <c r="T20">
        <v>4</v>
      </c>
      <c r="U20">
        <v>4</v>
      </c>
      <c r="V20">
        <v>4</v>
      </c>
      <c r="W20">
        <v>4</v>
      </c>
      <c r="X20">
        <v>4</v>
      </c>
      <c r="Z20" t="s">
        <v>30</v>
      </c>
    </row>
    <row r="21" spans="1:26" x14ac:dyDescent="0.3">
      <c r="A21" s="2">
        <v>45989.155159270827</v>
      </c>
      <c r="B21" t="s">
        <v>31</v>
      </c>
      <c r="C21">
        <v>1999</v>
      </c>
      <c r="D21" t="s">
        <v>32</v>
      </c>
      <c r="E21" t="s">
        <v>33</v>
      </c>
      <c r="F21" t="s">
        <v>61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Z21" t="s">
        <v>30</v>
      </c>
    </row>
    <row r="22" spans="1:26" x14ac:dyDescent="0.3">
      <c r="A22" s="2">
        <v>45990.923850937499</v>
      </c>
      <c r="B22" t="s">
        <v>31</v>
      </c>
      <c r="C22">
        <v>1999</v>
      </c>
      <c r="D22" t="s">
        <v>27</v>
      </c>
      <c r="E22" t="s">
        <v>28</v>
      </c>
      <c r="F22" t="s">
        <v>67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2</v>
      </c>
      <c r="O22">
        <v>5</v>
      </c>
      <c r="P22">
        <v>3</v>
      </c>
      <c r="Q22">
        <v>3</v>
      </c>
      <c r="R22">
        <v>4</v>
      </c>
      <c r="S22">
        <v>3</v>
      </c>
      <c r="T22">
        <v>4</v>
      </c>
      <c r="U22">
        <v>3</v>
      </c>
      <c r="V22">
        <v>3</v>
      </c>
      <c r="W22">
        <v>5</v>
      </c>
      <c r="X22">
        <v>5</v>
      </c>
      <c r="Y22">
        <v>0</v>
      </c>
      <c r="Z22" t="s">
        <v>30</v>
      </c>
    </row>
    <row r="23" spans="1:26" x14ac:dyDescent="0.3">
      <c r="A23" s="2">
        <v>45991.573769861112</v>
      </c>
      <c r="B23" t="s">
        <v>31</v>
      </c>
      <c r="C23">
        <v>2001</v>
      </c>
      <c r="D23" t="s">
        <v>27</v>
      </c>
      <c r="E23" t="s">
        <v>28</v>
      </c>
      <c r="F23" t="s">
        <v>68</v>
      </c>
      <c r="G23">
        <v>5</v>
      </c>
      <c r="H23">
        <v>4</v>
      </c>
      <c r="I23">
        <v>4</v>
      </c>
      <c r="J23">
        <v>3</v>
      </c>
      <c r="K23">
        <v>4</v>
      </c>
      <c r="L23">
        <v>4</v>
      </c>
      <c r="M23">
        <v>2</v>
      </c>
      <c r="N23">
        <v>5</v>
      </c>
      <c r="O23">
        <v>2</v>
      </c>
      <c r="P23">
        <v>3</v>
      </c>
      <c r="Q23">
        <v>2</v>
      </c>
      <c r="R23">
        <v>4</v>
      </c>
      <c r="S23">
        <v>2</v>
      </c>
      <c r="T23">
        <v>2</v>
      </c>
      <c r="U23">
        <v>2</v>
      </c>
      <c r="V23">
        <v>4</v>
      </c>
      <c r="W23">
        <v>4</v>
      </c>
      <c r="X23">
        <v>4</v>
      </c>
      <c r="Y23">
        <v>0</v>
      </c>
      <c r="Z23" t="s">
        <v>30</v>
      </c>
    </row>
    <row r="24" spans="1:26" x14ac:dyDescent="0.3">
      <c r="A24" s="2">
        <v>45991.579791261567</v>
      </c>
      <c r="B24" t="s">
        <v>31</v>
      </c>
      <c r="C24">
        <v>2005</v>
      </c>
      <c r="D24" t="s">
        <v>32</v>
      </c>
      <c r="E24" t="s">
        <v>36</v>
      </c>
      <c r="F24" t="s">
        <v>69</v>
      </c>
      <c r="G24">
        <v>5</v>
      </c>
      <c r="H24">
        <v>5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5</v>
      </c>
      <c r="P24">
        <v>2</v>
      </c>
      <c r="Q24">
        <v>2</v>
      </c>
      <c r="R24">
        <v>4</v>
      </c>
      <c r="S24">
        <v>4</v>
      </c>
      <c r="T24">
        <v>4</v>
      </c>
      <c r="U24">
        <v>4</v>
      </c>
      <c r="V24">
        <v>3</v>
      </c>
      <c r="W24">
        <v>5</v>
      </c>
      <c r="X24">
        <v>5</v>
      </c>
      <c r="Y24">
        <v>0</v>
      </c>
      <c r="Z24" t="s">
        <v>30</v>
      </c>
    </row>
    <row r="25" spans="1:26" x14ac:dyDescent="0.3">
      <c r="A25" s="2">
        <v>45991.581113009262</v>
      </c>
      <c r="B25" t="s">
        <v>26</v>
      </c>
      <c r="C25">
        <v>2002</v>
      </c>
      <c r="D25" t="s">
        <v>32</v>
      </c>
      <c r="E25" t="s">
        <v>36</v>
      </c>
      <c r="F25" t="s">
        <v>70</v>
      </c>
      <c r="G25">
        <v>5</v>
      </c>
      <c r="H25">
        <v>4</v>
      </c>
      <c r="I25">
        <v>4</v>
      </c>
      <c r="J25">
        <v>4</v>
      </c>
      <c r="K25">
        <v>5</v>
      </c>
      <c r="L25">
        <v>5</v>
      </c>
      <c r="M25">
        <v>4</v>
      </c>
      <c r="N25">
        <v>4</v>
      </c>
      <c r="O25">
        <v>3</v>
      </c>
      <c r="P25">
        <v>2</v>
      </c>
      <c r="Q25">
        <v>2</v>
      </c>
      <c r="R25">
        <v>4</v>
      </c>
      <c r="S25">
        <v>3</v>
      </c>
      <c r="T25">
        <v>2</v>
      </c>
      <c r="U25">
        <v>4</v>
      </c>
      <c r="V25">
        <v>3</v>
      </c>
      <c r="W25">
        <v>5</v>
      </c>
      <c r="X25">
        <v>5</v>
      </c>
      <c r="Y25">
        <v>0</v>
      </c>
      <c r="Z25" t="s">
        <v>30</v>
      </c>
    </row>
    <row r="26" spans="1:26" x14ac:dyDescent="0.3">
      <c r="A26" s="2">
        <v>45991.584143969907</v>
      </c>
      <c r="B26" t="s">
        <v>31</v>
      </c>
      <c r="C26">
        <v>1999</v>
      </c>
      <c r="D26" t="s">
        <v>27</v>
      </c>
      <c r="E26" t="s">
        <v>28</v>
      </c>
      <c r="F26" t="s">
        <v>71</v>
      </c>
      <c r="G26">
        <v>5</v>
      </c>
      <c r="H26">
        <v>5</v>
      </c>
      <c r="I26">
        <v>4</v>
      </c>
      <c r="J26">
        <v>3</v>
      </c>
      <c r="K26">
        <v>5</v>
      </c>
      <c r="L26">
        <v>5</v>
      </c>
      <c r="M26">
        <v>4</v>
      </c>
      <c r="N26">
        <v>4</v>
      </c>
      <c r="O26">
        <v>2</v>
      </c>
      <c r="P26">
        <v>2</v>
      </c>
      <c r="Q26">
        <v>2</v>
      </c>
      <c r="R26">
        <v>4</v>
      </c>
      <c r="S26">
        <v>2</v>
      </c>
      <c r="T26">
        <v>2</v>
      </c>
      <c r="U26">
        <v>4</v>
      </c>
      <c r="V26">
        <v>2</v>
      </c>
      <c r="W26">
        <v>5</v>
      </c>
      <c r="X26">
        <v>5</v>
      </c>
      <c r="Y26">
        <v>0</v>
      </c>
      <c r="Z26" t="s">
        <v>30</v>
      </c>
    </row>
    <row r="27" spans="1:26" x14ac:dyDescent="0.3">
      <c r="A27" s="2">
        <v>45991.586666701391</v>
      </c>
      <c r="B27" t="s">
        <v>26</v>
      </c>
      <c r="C27">
        <v>1998</v>
      </c>
      <c r="D27" t="s">
        <v>27</v>
      </c>
      <c r="E27" t="s">
        <v>28</v>
      </c>
      <c r="F27" t="s">
        <v>72</v>
      </c>
      <c r="G27">
        <v>4</v>
      </c>
      <c r="H27">
        <v>4</v>
      </c>
      <c r="I27">
        <v>4</v>
      </c>
      <c r="J27">
        <v>4</v>
      </c>
      <c r="K27">
        <v>5</v>
      </c>
      <c r="L27">
        <v>5</v>
      </c>
      <c r="M27">
        <v>4</v>
      </c>
      <c r="N27">
        <v>4</v>
      </c>
      <c r="O27">
        <v>3</v>
      </c>
      <c r="P27">
        <v>2</v>
      </c>
      <c r="Q27">
        <v>4</v>
      </c>
      <c r="R27">
        <v>4</v>
      </c>
      <c r="S27">
        <v>2</v>
      </c>
      <c r="T27">
        <v>2</v>
      </c>
      <c r="U27">
        <v>4</v>
      </c>
      <c r="V27">
        <v>2</v>
      </c>
      <c r="W27">
        <v>5</v>
      </c>
      <c r="X27">
        <v>5</v>
      </c>
      <c r="Y27">
        <v>0</v>
      </c>
      <c r="Z27" t="s">
        <v>30</v>
      </c>
    </row>
    <row r="28" spans="1:26" x14ac:dyDescent="0.3">
      <c r="A28" s="2">
        <v>45991.591226863427</v>
      </c>
      <c r="B28" t="s">
        <v>31</v>
      </c>
      <c r="C28">
        <v>2003</v>
      </c>
      <c r="D28" t="s">
        <v>32</v>
      </c>
      <c r="E28" t="s">
        <v>28</v>
      </c>
      <c r="F28" t="s">
        <v>73</v>
      </c>
      <c r="G28">
        <v>5</v>
      </c>
      <c r="H28">
        <v>4</v>
      </c>
      <c r="I28">
        <v>4</v>
      </c>
      <c r="J28">
        <v>3</v>
      </c>
      <c r="K28">
        <v>4</v>
      </c>
      <c r="L28">
        <v>4</v>
      </c>
      <c r="M28">
        <v>4</v>
      </c>
      <c r="N28">
        <v>3</v>
      </c>
      <c r="O28">
        <v>3</v>
      </c>
      <c r="P28">
        <v>2</v>
      </c>
      <c r="Q28">
        <v>2</v>
      </c>
      <c r="R28">
        <v>2</v>
      </c>
      <c r="S28">
        <v>2</v>
      </c>
      <c r="T28">
        <v>3</v>
      </c>
      <c r="U28">
        <v>4</v>
      </c>
      <c r="V28">
        <v>3</v>
      </c>
      <c r="W28">
        <v>5</v>
      </c>
      <c r="X28">
        <v>5</v>
      </c>
      <c r="Y28">
        <v>0</v>
      </c>
      <c r="Z28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F8B8-58E3-4399-A5AC-E6C19C2DA6AC}">
  <dimension ref="A1:T41"/>
  <sheetViews>
    <sheetView topLeftCell="A2" zoomScale="86" zoomScaleNormal="100" workbookViewId="0">
      <selection activeCell="B44" sqref="B44"/>
    </sheetView>
  </sheetViews>
  <sheetFormatPr defaultColWidth="8.6640625" defaultRowHeight="14.4" x14ac:dyDescent="0.3"/>
  <sheetData>
    <row r="1" spans="2:20" x14ac:dyDescent="0.3">
      <c r="B1" s="7" t="s">
        <v>5</v>
      </c>
      <c r="C1" s="7" t="s">
        <v>6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25</v>
      </c>
    </row>
    <row r="2" spans="2:20" x14ac:dyDescent="0.3">
      <c r="B2">
        <v>5</v>
      </c>
      <c r="C2">
        <v>5</v>
      </c>
      <c r="D2">
        <v>5</v>
      </c>
      <c r="E2">
        <v>4</v>
      </c>
      <c r="F2">
        <v>4</v>
      </c>
      <c r="G2">
        <v>5</v>
      </c>
      <c r="H2">
        <v>5</v>
      </c>
      <c r="I2">
        <v>5</v>
      </c>
      <c r="J2">
        <v>4</v>
      </c>
      <c r="K2">
        <v>4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 t="s">
        <v>30</v>
      </c>
    </row>
    <row r="3" spans="2:20" x14ac:dyDescent="0.3">
      <c r="B3">
        <v>5</v>
      </c>
      <c r="C3">
        <v>5</v>
      </c>
      <c r="D3">
        <v>1</v>
      </c>
      <c r="E3">
        <v>3</v>
      </c>
      <c r="F3">
        <v>1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3</v>
      </c>
      <c r="N3">
        <v>3</v>
      </c>
      <c r="O3">
        <v>5</v>
      </c>
      <c r="P3">
        <v>5</v>
      </c>
      <c r="Q3">
        <v>5</v>
      </c>
      <c r="R3">
        <v>5</v>
      </c>
      <c r="S3">
        <v>5</v>
      </c>
      <c r="T3" t="s">
        <v>30</v>
      </c>
    </row>
    <row r="4" spans="2:20" x14ac:dyDescent="0.3">
      <c r="B4">
        <v>5</v>
      </c>
      <c r="C4">
        <v>5</v>
      </c>
      <c r="D4">
        <v>4</v>
      </c>
      <c r="E4">
        <v>4</v>
      </c>
      <c r="F4">
        <v>4</v>
      </c>
      <c r="G4">
        <v>5</v>
      </c>
      <c r="H4">
        <v>4</v>
      </c>
      <c r="I4">
        <v>4</v>
      </c>
      <c r="J4">
        <v>5</v>
      </c>
      <c r="K4">
        <v>5</v>
      </c>
      <c r="L4">
        <v>4</v>
      </c>
      <c r="M4">
        <v>4</v>
      </c>
      <c r="N4">
        <v>4</v>
      </c>
      <c r="O4">
        <v>2</v>
      </c>
      <c r="P4">
        <v>4</v>
      </c>
      <c r="Q4">
        <v>4</v>
      </c>
      <c r="R4">
        <v>4</v>
      </c>
      <c r="S4">
        <v>4</v>
      </c>
      <c r="T4" t="s">
        <v>30</v>
      </c>
    </row>
    <row r="5" spans="2:20" x14ac:dyDescent="0.3">
      <c r="B5">
        <v>3</v>
      </c>
      <c r="C5">
        <v>3</v>
      </c>
      <c r="D5">
        <v>3</v>
      </c>
      <c r="E5">
        <v>4</v>
      </c>
      <c r="F5">
        <v>3</v>
      </c>
      <c r="G5">
        <v>4</v>
      </c>
      <c r="H5">
        <v>4</v>
      </c>
      <c r="I5">
        <v>4</v>
      </c>
      <c r="J5">
        <v>4</v>
      </c>
      <c r="K5">
        <v>5</v>
      </c>
      <c r="L5">
        <v>4</v>
      </c>
      <c r="M5">
        <v>2</v>
      </c>
      <c r="N5">
        <v>3</v>
      </c>
      <c r="O5">
        <v>4</v>
      </c>
      <c r="P5">
        <v>3</v>
      </c>
      <c r="Q5">
        <v>4</v>
      </c>
      <c r="R5">
        <v>4</v>
      </c>
      <c r="S5">
        <v>2</v>
      </c>
      <c r="T5" t="s">
        <v>30</v>
      </c>
    </row>
    <row r="6" spans="2:20" x14ac:dyDescent="0.3"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 t="s">
        <v>30</v>
      </c>
    </row>
    <row r="7" spans="2:20" x14ac:dyDescent="0.3">
      <c r="B7">
        <v>4</v>
      </c>
      <c r="C7">
        <v>5</v>
      </c>
      <c r="D7">
        <v>4</v>
      </c>
      <c r="E7">
        <v>5</v>
      </c>
      <c r="F7">
        <v>4</v>
      </c>
      <c r="G7">
        <v>5</v>
      </c>
      <c r="H7">
        <v>4</v>
      </c>
      <c r="I7">
        <v>2</v>
      </c>
      <c r="J7">
        <v>2</v>
      </c>
      <c r="K7">
        <v>3</v>
      </c>
      <c r="L7">
        <v>2</v>
      </c>
      <c r="M7">
        <v>4</v>
      </c>
      <c r="N7">
        <v>3</v>
      </c>
      <c r="O7">
        <v>2</v>
      </c>
      <c r="P7">
        <v>3</v>
      </c>
      <c r="Q7">
        <v>3</v>
      </c>
      <c r="R7">
        <v>1</v>
      </c>
      <c r="S7">
        <v>3</v>
      </c>
      <c r="T7" t="s">
        <v>30</v>
      </c>
    </row>
    <row r="8" spans="2:20" x14ac:dyDescent="0.3">
      <c r="B8">
        <v>4</v>
      </c>
      <c r="C8">
        <v>4</v>
      </c>
      <c r="D8">
        <v>5</v>
      </c>
      <c r="E8">
        <v>1</v>
      </c>
      <c r="F8">
        <v>2</v>
      </c>
      <c r="G8">
        <v>4</v>
      </c>
      <c r="H8">
        <v>4</v>
      </c>
      <c r="I8">
        <v>1</v>
      </c>
      <c r="J8">
        <v>5</v>
      </c>
      <c r="K8">
        <v>4</v>
      </c>
      <c r="L8">
        <v>4</v>
      </c>
      <c r="M8">
        <v>2</v>
      </c>
      <c r="N8">
        <v>1</v>
      </c>
      <c r="O8">
        <v>5</v>
      </c>
      <c r="P8">
        <v>5</v>
      </c>
      <c r="Q8">
        <v>5</v>
      </c>
      <c r="R8">
        <v>5</v>
      </c>
      <c r="S8">
        <v>5</v>
      </c>
      <c r="T8" t="s">
        <v>30</v>
      </c>
    </row>
    <row r="9" spans="2:20" x14ac:dyDescent="0.3">
      <c r="B9">
        <v>4</v>
      </c>
      <c r="C9">
        <v>2</v>
      </c>
      <c r="D9">
        <v>5</v>
      </c>
      <c r="E9">
        <v>2</v>
      </c>
      <c r="F9">
        <v>5</v>
      </c>
      <c r="G9">
        <v>4</v>
      </c>
      <c r="H9">
        <v>1</v>
      </c>
      <c r="I9">
        <v>4</v>
      </c>
      <c r="J9">
        <v>5</v>
      </c>
      <c r="K9">
        <v>5</v>
      </c>
      <c r="L9">
        <v>4</v>
      </c>
      <c r="M9">
        <v>2</v>
      </c>
      <c r="N9">
        <v>2</v>
      </c>
      <c r="O9">
        <v>4</v>
      </c>
      <c r="P9">
        <v>5</v>
      </c>
      <c r="Q9">
        <v>5</v>
      </c>
      <c r="R9">
        <v>5</v>
      </c>
      <c r="S9">
        <v>5</v>
      </c>
      <c r="T9" t="s">
        <v>30</v>
      </c>
    </row>
    <row r="10" spans="2:20" x14ac:dyDescent="0.3">
      <c r="B10">
        <v>5</v>
      </c>
      <c r="C10">
        <v>5</v>
      </c>
      <c r="D10">
        <v>4</v>
      </c>
      <c r="E10">
        <v>5</v>
      </c>
      <c r="F10">
        <v>5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5</v>
      </c>
      <c r="S10">
        <v>5</v>
      </c>
      <c r="T10" t="s">
        <v>44</v>
      </c>
    </row>
    <row r="11" spans="2:20" x14ac:dyDescent="0.3">
      <c r="B11">
        <v>5</v>
      </c>
      <c r="C11">
        <v>5</v>
      </c>
      <c r="D11">
        <v>4</v>
      </c>
      <c r="E11">
        <v>4</v>
      </c>
      <c r="F11">
        <v>5</v>
      </c>
      <c r="G11">
        <v>5</v>
      </c>
      <c r="H11">
        <v>4</v>
      </c>
      <c r="I11">
        <v>2</v>
      </c>
      <c r="J11">
        <v>5</v>
      </c>
      <c r="K11">
        <v>5</v>
      </c>
      <c r="L11">
        <v>5</v>
      </c>
      <c r="M11">
        <v>5</v>
      </c>
      <c r="N11">
        <v>4</v>
      </c>
      <c r="O11">
        <v>5</v>
      </c>
      <c r="P11">
        <v>5</v>
      </c>
      <c r="Q11">
        <v>5</v>
      </c>
      <c r="R11">
        <v>5</v>
      </c>
      <c r="S11">
        <v>5</v>
      </c>
      <c r="T11" t="s">
        <v>30</v>
      </c>
    </row>
    <row r="12" spans="2:20" x14ac:dyDescent="0.3">
      <c r="B12">
        <v>5</v>
      </c>
      <c r="C12">
        <v>4</v>
      </c>
      <c r="D12">
        <v>3</v>
      </c>
      <c r="E12">
        <v>2</v>
      </c>
      <c r="F12">
        <v>2</v>
      </c>
      <c r="G12">
        <v>4</v>
      </c>
      <c r="H12">
        <v>2</v>
      </c>
      <c r="I12">
        <v>3</v>
      </c>
      <c r="J12">
        <v>5</v>
      </c>
      <c r="K12">
        <v>5</v>
      </c>
      <c r="L12">
        <v>4</v>
      </c>
      <c r="M12">
        <v>4</v>
      </c>
      <c r="N12">
        <v>2</v>
      </c>
      <c r="O12">
        <v>3</v>
      </c>
      <c r="P12">
        <v>5</v>
      </c>
      <c r="Q12">
        <v>5</v>
      </c>
      <c r="R12">
        <v>5</v>
      </c>
      <c r="S12">
        <v>5</v>
      </c>
      <c r="T12" t="s">
        <v>30</v>
      </c>
    </row>
    <row r="13" spans="2:20" x14ac:dyDescent="0.3">
      <c r="B13">
        <v>1</v>
      </c>
      <c r="C13">
        <v>3</v>
      </c>
      <c r="D13">
        <v>2</v>
      </c>
      <c r="E13">
        <v>3</v>
      </c>
      <c r="F13">
        <v>4</v>
      </c>
      <c r="G13">
        <v>4</v>
      </c>
      <c r="H13">
        <v>3</v>
      </c>
      <c r="I13">
        <v>4</v>
      </c>
      <c r="J13">
        <v>5</v>
      </c>
      <c r="K13">
        <v>2</v>
      </c>
      <c r="L13">
        <v>4</v>
      </c>
      <c r="M13">
        <v>3</v>
      </c>
      <c r="N13">
        <v>2</v>
      </c>
      <c r="O13">
        <v>2</v>
      </c>
      <c r="P13">
        <v>4</v>
      </c>
      <c r="Q13">
        <v>4</v>
      </c>
      <c r="R13">
        <v>4</v>
      </c>
      <c r="S13">
        <v>4</v>
      </c>
      <c r="T13" t="s">
        <v>30</v>
      </c>
    </row>
    <row r="14" spans="2:20" x14ac:dyDescent="0.3">
      <c r="B14">
        <v>4</v>
      </c>
      <c r="C14">
        <v>1</v>
      </c>
      <c r="D14">
        <v>5</v>
      </c>
      <c r="E14">
        <v>4</v>
      </c>
      <c r="F14">
        <v>4</v>
      </c>
      <c r="G14">
        <v>5</v>
      </c>
      <c r="H14">
        <v>3</v>
      </c>
      <c r="I14">
        <v>4</v>
      </c>
      <c r="J14">
        <v>5</v>
      </c>
      <c r="K14">
        <v>4</v>
      </c>
      <c r="L14">
        <v>4</v>
      </c>
      <c r="M14">
        <v>5</v>
      </c>
      <c r="N14">
        <v>4</v>
      </c>
      <c r="O14">
        <v>3</v>
      </c>
      <c r="P14">
        <v>4</v>
      </c>
      <c r="Q14">
        <v>5</v>
      </c>
      <c r="R14">
        <v>5</v>
      </c>
      <c r="S14">
        <v>5</v>
      </c>
      <c r="T14" t="s">
        <v>30</v>
      </c>
    </row>
    <row r="15" spans="2:20" x14ac:dyDescent="0.3">
      <c r="B15">
        <v>4</v>
      </c>
      <c r="C15">
        <v>4</v>
      </c>
      <c r="D15">
        <v>2</v>
      </c>
      <c r="E15">
        <v>3</v>
      </c>
      <c r="F15">
        <v>3</v>
      </c>
      <c r="G15">
        <v>5</v>
      </c>
      <c r="H15">
        <v>2</v>
      </c>
      <c r="I15">
        <v>4</v>
      </c>
      <c r="J15">
        <v>4</v>
      </c>
      <c r="K15">
        <v>3</v>
      </c>
      <c r="L15">
        <v>4</v>
      </c>
      <c r="M15">
        <v>4</v>
      </c>
      <c r="N15">
        <v>3</v>
      </c>
      <c r="O15">
        <v>4</v>
      </c>
      <c r="P15">
        <v>3</v>
      </c>
      <c r="Q15">
        <v>3</v>
      </c>
      <c r="R15">
        <v>5</v>
      </c>
      <c r="S15">
        <v>3</v>
      </c>
      <c r="T15" t="s">
        <v>30</v>
      </c>
    </row>
    <row r="16" spans="2:20" x14ac:dyDescent="0.3">
      <c r="B16">
        <v>4</v>
      </c>
      <c r="C16">
        <v>4</v>
      </c>
      <c r="D16">
        <v>4</v>
      </c>
      <c r="E16">
        <v>4</v>
      </c>
      <c r="F16">
        <v>4</v>
      </c>
      <c r="G16">
        <v>5</v>
      </c>
      <c r="H16">
        <v>4</v>
      </c>
      <c r="I16">
        <v>3</v>
      </c>
      <c r="J16">
        <v>4</v>
      </c>
      <c r="K16">
        <v>4</v>
      </c>
      <c r="L16">
        <v>5</v>
      </c>
      <c r="M16">
        <v>4</v>
      </c>
      <c r="N16">
        <v>4</v>
      </c>
      <c r="O16">
        <v>4</v>
      </c>
      <c r="P16">
        <v>4</v>
      </c>
      <c r="Q16">
        <v>4</v>
      </c>
      <c r="R16">
        <v>5</v>
      </c>
      <c r="S16">
        <v>5</v>
      </c>
      <c r="T16" t="s">
        <v>30</v>
      </c>
    </row>
    <row r="17" spans="2:20" x14ac:dyDescent="0.3">
      <c r="B17">
        <v>5</v>
      </c>
      <c r="C17">
        <v>5</v>
      </c>
      <c r="D17">
        <v>5</v>
      </c>
      <c r="E17">
        <v>4</v>
      </c>
      <c r="F17">
        <v>4</v>
      </c>
      <c r="G17">
        <v>5</v>
      </c>
      <c r="H17">
        <v>5</v>
      </c>
      <c r="I17">
        <v>4</v>
      </c>
      <c r="J17">
        <v>2</v>
      </c>
      <c r="K17">
        <v>2</v>
      </c>
      <c r="L17">
        <v>4</v>
      </c>
      <c r="M17">
        <v>4</v>
      </c>
      <c r="N17">
        <v>4</v>
      </c>
      <c r="O17">
        <v>4</v>
      </c>
      <c r="P17">
        <v>3</v>
      </c>
      <c r="Q17">
        <v>2</v>
      </c>
      <c r="R17">
        <v>5</v>
      </c>
      <c r="S17">
        <v>4</v>
      </c>
      <c r="T17" t="s">
        <v>30</v>
      </c>
    </row>
    <row r="18" spans="2:20" x14ac:dyDescent="0.3">
      <c r="B18">
        <v>1</v>
      </c>
      <c r="C18">
        <v>3</v>
      </c>
      <c r="D18">
        <v>3</v>
      </c>
      <c r="E18">
        <v>2</v>
      </c>
      <c r="F18">
        <v>2</v>
      </c>
      <c r="G18">
        <v>2</v>
      </c>
      <c r="H18">
        <v>2</v>
      </c>
      <c r="I18">
        <v>2</v>
      </c>
      <c r="J18">
        <v>4</v>
      </c>
      <c r="K18">
        <v>2</v>
      </c>
      <c r="L18">
        <v>2</v>
      </c>
      <c r="M18">
        <v>2</v>
      </c>
      <c r="N18">
        <v>1</v>
      </c>
      <c r="O18">
        <v>1</v>
      </c>
      <c r="P18">
        <v>2</v>
      </c>
      <c r="Q18">
        <v>2</v>
      </c>
      <c r="R18">
        <v>2</v>
      </c>
      <c r="S18">
        <v>2</v>
      </c>
      <c r="T18" t="s">
        <v>30</v>
      </c>
    </row>
    <row r="19" spans="2:20" x14ac:dyDescent="0.3">
      <c r="B19">
        <v>3</v>
      </c>
      <c r="C19">
        <v>3</v>
      </c>
      <c r="D19">
        <v>4</v>
      </c>
      <c r="E19">
        <v>4</v>
      </c>
      <c r="F19">
        <v>4</v>
      </c>
      <c r="G19">
        <v>3</v>
      </c>
      <c r="H19">
        <v>4</v>
      </c>
      <c r="I19">
        <v>3</v>
      </c>
      <c r="J19">
        <v>4</v>
      </c>
      <c r="K19">
        <v>4</v>
      </c>
      <c r="L19">
        <v>3</v>
      </c>
      <c r="M19">
        <v>4</v>
      </c>
      <c r="N19">
        <v>4</v>
      </c>
      <c r="O19">
        <v>3</v>
      </c>
      <c r="P19">
        <v>4</v>
      </c>
      <c r="Q19">
        <v>3</v>
      </c>
      <c r="R19">
        <v>5</v>
      </c>
      <c r="S19">
        <v>5</v>
      </c>
      <c r="T19" t="s">
        <v>30</v>
      </c>
    </row>
    <row r="20" spans="2:20" x14ac:dyDescent="0.3">
      <c r="B20">
        <v>5</v>
      </c>
      <c r="C20">
        <v>5</v>
      </c>
      <c r="D20">
        <v>5</v>
      </c>
      <c r="E20">
        <v>4</v>
      </c>
      <c r="F20">
        <v>5</v>
      </c>
      <c r="G20">
        <v>5</v>
      </c>
      <c r="H20">
        <v>4</v>
      </c>
      <c r="I20">
        <v>3</v>
      </c>
      <c r="J20">
        <v>3</v>
      </c>
      <c r="K20">
        <v>5</v>
      </c>
      <c r="L20">
        <v>4</v>
      </c>
      <c r="M20">
        <v>3</v>
      </c>
      <c r="N20">
        <v>3</v>
      </c>
      <c r="O20">
        <v>4</v>
      </c>
      <c r="P20">
        <v>5</v>
      </c>
      <c r="Q20">
        <v>5</v>
      </c>
      <c r="R20">
        <v>5</v>
      </c>
      <c r="S20">
        <v>3</v>
      </c>
      <c r="T20" t="s">
        <v>44</v>
      </c>
    </row>
    <row r="21" spans="2:20" x14ac:dyDescent="0.3">
      <c r="B21">
        <v>4</v>
      </c>
      <c r="C21">
        <v>3</v>
      </c>
      <c r="D21">
        <v>4</v>
      </c>
      <c r="E21">
        <v>5</v>
      </c>
      <c r="F21">
        <v>3</v>
      </c>
      <c r="G21">
        <v>4</v>
      </c>
      <c r="H21">
        <v>2</v>
      </c>
      <c r="I21">
        <v>4</v>
      </c>
      <c r="J21">
        <v>5</v>
      </c>
      <c r="K21">
        <v>2</v>
      </c>
      <c r="L21">
        <v>3</v>
      </c>
      <c r="M21">
        <v>3</v>
      </c>
      <c r="N21">
        <v>4</v>
      </c>
      <c r="O21">
        <v>4</v>
      </c>
      <c r="P21">
        <v>4</v>
      </c>
      <c r="Q21">
        <v>4</v>
      </c>
      <c r="R21">
        <v>4</v>
      </c>
      <c r="S21">
        <v>5</v>
      </c>
      <c r="T21" t="s">
        <v>44</v>
      </c>
    </row>
    <row r="22" spans="2:20" x14ac:dyDescent="0.3"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4</v>
      </c>
      <c r="I22">
        <v>1</v>
      </c>
      <c r="J22">
        <v>5</v>
      </c>
      <c r="K22">
        <v>5</v>
      </c>
      <c r="L22">
        <v>1</v>
      </c>
      <c r="M22">
        <v>5</v>
      </c>
      <c r="N22">
        <v>5</v>
      </c>
      <c r="O22">
        <v>5</v>
      </c>
      <c r="P22">
        <v>1</v>
      </c>
      <c r="Q22">
        <v>5</v>
      </c>
      <c r="R22">
        <v>5</v>
      </c>
      <c r="S22">
        <v>5</v>
      </c>
      <c r="T22" t="s">
        <v>44</v>
      </c>
    </row>
    <row r="23" spans="2:20" x14ac:dyDescent="0.3">
      <c r="B23">
        <v>5</v>
      </c>
      <c r="C23">
        <v>5</v>
      </c>
      <c r="D23">
        <v>5</v>
      </c>
      <c r="E23">
        <v>4</v>
      </c>
      <c r="F23">
        <v>5</v>
      </c>
      <c r="G23">
        <v>5</v>
      </c>
      <c r="H23">
        <v>3</v>
      </c>
      <c r="I23">
        <v>1</v>
      </c>
      <c r="J23">
        <v>5</v>
      </c>
      <c r="K23">
        <v>5</v>
      </c>
      <c r="L23">
        <v>1</v>
      </c>
      <c r="M23">
        <v>3</v>
      </c>
      <c r="N23">
        <v>4</v>
      </c>
      <c r="O23">
        <v>4</v>
      </c>
      <c r="P23">
        <v>1</v>
      </c>
      <c r="Q23">
        <v>5</v>
      </c>
      <c r="R23">
        <v>5</v>
      </c>
      <c r="S23">
        <v>5</v>
      </c>
      <c r="T23" t="s">
        <v>44</v>
      </c>
    </row>
    <row r="24" spans="2:20" x14ac:dyDescent="0.3">
      <c r="B24">
        <v>5</v>
      </c>
      <c r="C24">
        <v>4</v>
      </c>
      <c r="D24">
        <v>5</v>
      </c>
      <c r="E24">
        <v>4</v>
      </c>
      <c r="F24">
        <v>5</v>
      </c>
      <c r="G24">
        <v>5</v>
      </c>
      <c r="H24">
        <v>3</v>
      </c>
      <c r="I24">
        <v>1</v>
      </c>
      <c r="J24">
        <v>5</v>
      </c>
      <c r="K24">
        <v>4</v>
      </c>
      <c r="L24">
        <v>2</v>
      </c>
      <c r="M24">
        <v>4</v>
      </c>
      <c r="N24">
        <v>4</v>
      </c>
      <c r="O24">
        <v>3</v>
      </c>
      <c r="P24">
        <v>2</v>
      </c>
      <c r="Q24">
        <v>5</v>
      </c>
      <c r="R24">
        <v>5</v>
      </c>
      <c r="S24">
        <v>4</v>
      </c>
      <c r="T24" t="s">
        <v>44</v>
      </c>
    </row>
    <row r="25" spans="2:20" x14ac:dyDescent="0.3"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2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2</v>
      </c>
      <c r="T25" t="s">
        <v>30</v>
      </c>
    </row>
    <row r="26" spans="2:20" x14ac:dyDescent="0.3">
      <c r="B26">
        <v>4</v>
      </c>
      <c r="C26">
        <v>2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2</v>
      </c>
      <c r="K26">
        <v>2</v>
      </c>
      <c r="L26">
        <v>2</v>
      </c>
      <c r="M26">
        <v>2</v>
      </c>
      <c r="N26">
        <v>2</v>
      </c>
      <c r="O26">
        <v>4</v>
      </c>
      <c r="P26">
        <v>4</v>
      </c>
      <c r="Q26">
        <v>4</v>
      </c>
      <c r="R26">
        <v>4</v>
      </c>
      <c r="S26">
        <v>4</v>
      </c>
      <c r="T26" t="s">
        <v>30</v>
      </c>
    </row>
    <row r="27" spans="2:20" x14ac:dyDescent="0.3"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 t="s">
        <v>30</v>
      </c>
    </row>
    <row r="28" spans="2:20" x14ac:dyDescent="0.3">
      <c r="B28">
        <v>4</v>
      </c>
      <c r="C28">
        <v>5</v>
      </c>
      <c r="D28">
        <v>3</v>
      </c>
      <c r="E28">
        <v>5</v>
      </c>
      <c r="F28">
        <v>3</v>
      </c>
      <c r="G28">
        <v>4</v>
      </c>
      <c r="H28">
        <v>2</v>
      </c>
      <c r="I28">
        <v>5</v>
      </c>
      <c r="J28">
        <v>4</v>
      </c>
      <c r="K28">
        <v>2</v>
      </c>
      <c r="L28">
        <v>5</v>
      </c>
      <c r="M28">
        <v>3</v>
      </c>
      <c r="N28">
        <v>4</v>
      </c>
      <c r="O28">
        <v>3</v>
      </c>
      <c r="P28">
        <v>5</v>
      </c>
      <c r="Q28">
        <v>3</v>
      </c>
      <c r="R28">
        <v>4</v>
      </c>
      <c r="S28">
        <v>4</v>
      </c>
      <c r="T28" t="s">
        <v>44</v>
      </c>
    </row>
    <row r="29" spans="2:20" x14ac:dyDescent="0.3">
      <c r="B29">
        <v>5</v>
      </c>
      <c r="C29">
        <v>5</v>
      </c>
      <c r="D29">
        <v>5</v>
      </c>
      <c r="E29">
        <v>4</v>
      </c>
      <c r="F29">
        <v>4</v>
      </c>
      <c r="G29">
        <v>5</v>
      </c>
      <c r="H29">
        <v>3</v>
      </c>
      <c r="I29">
        <v>1</v>
      </c>
      <c r="J29">
        <v>5</v>
      </c>
      <c r="K29">
        <v>4</v>
      </c>
      <c r="L29">
        <v>5</v>
      </c>
      <c r="M29">
        <v>5</v>
      </c>
      <c r="N29">
        <v>2</v>
      </c>
      <c r="O29">
        <v>2</v>
      </c>
      <c r="P29">
        <v>3</v>
      </c>
      <c r="Q29">
        <v>4</v>
      </c>
      <c r="R29">
        <v>4</v>
      </c>
      <c r="S29">
        <v>5</v>
      </c>
      <c r="T29" t="s">
        <v>44</v>
      </c>
    </row>
    <row r="30" spans="2:20" x14ac:dyDescent="0.3">
      <c r="B30">
        <v>4</v>
      </c>
      <c r="C30">
        <v>5</v>
      </c>
      <c r="D30">
        <v>4</v>
      </c>
      <c r="E30">
        <v>2</v>
      </c>
      <c r="F30">
        <v>4</v>
      </c>
      <c r="G30">
        <v>4</v>
      </c>
      <c r="H30">
        <v>4</v>
      </c>
      <c r="I30">
        <v>2</v>
      </c>
      <c r="J30">
        <v>4</v>
      </c>
      <c r="K30">
        <v>4</v>
      </c>
      <c r="L30">
        <v>2</v>
      </c>
      <c r="M30">
        <v>2</v>
      </c>
      <c r="N30">
        <v>2</v>
      </c>
      <c r="O30">
        <v>2</v>
      </c>
      <c r="P30">
        <v>2</v>
      </c>
      <c r="Q30">
        <v>5</v>
      </c>
      <c r="R30">
        <v>5</v>
      </c>
      <c r="S30">
        <v>5</v>
      </c>
      <c r="T30" t="s">
        <v>44</v>
      </c>
    </row>
    <row r="31" spans="2:20" x14ac:dyDescent="0.3">
      <c r="B31">
        <v>4</v>
      </c>
      <c r="C31">
        <v>3</v>
      </c>
      <c r="D31">
        <v>3</v>
      </c>
      <c r="E31">
        <v>4</v>
      </c>
      <c r="F31">
        <v>4</v>
      </c>
      <c r="G31">
        <v>3</v>
      </c>
      <c r="H31">
        <v>2</v>
      </c>
      <c r="I31">
        <v>4</v>
      </c>
      <c r="J31">
        <v>3</v>
      </c>
      <c r="K31">
        <v>5</v>
      </c>
      <c r="L31">
        <v>3</v>
      </c>
      <c r="M31">
        <v>4</v>
      </c>
      <c r="N31">
        <v>5</v>
      </c>
      <c r="O31">
        <v>5</v>
      </c>
      <c r="P31">
        <v>3</v>
      </c>
      <c r="Q31">
        <v>3</v>
      </c>
      <c r="R31">
        <v>5</v>
      </c>
      <c r="S31">
        <v>2</v>
      </c>
      <c r="T31" t="s">
        <v>44</v>
      </c>
    </row>
    <row r="32" spans="2:20" x14ac:dyDescent="0.3">
      <c r="B32">
        <v>5</v>
      </c>
      <c r="C32">
        <v>5</v>
      </c>
      <c r="D32">
        <v>5</v>
      </c>
      <c r="E32">
        <v>4</v>
      </c>
      <c r="F32">
        <v>5</v>
      </c>
      <c r="G32">
        <v>5</v>
      </c>
      <c r="H32">
        <v>4</v>
      </c>
      <c r="I32">
        <v>2</v>
      </c>
      <c r="J32">
        <v>5</v>
      </c>
      <c r="K32">
        <v>4</v>
      </c>
      <c r="L32">
        <v>4</v>
      </c>
      <c r="M32">
        <v>4</v>
      </c>
      <c r="N32">
        <v>2</v>
      </c>
      <c r="O32">
        <v>4</v>
      </c>
      <c r="P32">
        <v>2</v>
      </c>
      <c r="Q32">
        <v>5</v>
      </c>
      <c r="R32">
        <v>5</v>
      </c>
      <c r="S32">
        <v>5</v>
      </c>
      <c r="T32" t="s">
        <v>44</v>
      </c>
    </row>
    <row r="33" spans="1:20" x14ac:dyDescent="0.3"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2</v>
      </c>
      <c r="J33">
        <v>5</v>
      </c>
      <c r="K33">
        <v>3</v>
      </c>
      <c r="L33">
        <v>3</v>
      </c>
      <c r="M33">
        <v>4</v>
      </c>
      <c r="N33">
        <v>3</v>
      </c>
      <c r="O33">
        <v>4</v>
      </c>
      <c r="P33">
        <v>3</v>
      </c>
      <c r="Q33">
        <v>3</v>
      </c>
      <c r="R33">
        <v>5</v>
      </c>
      <c r="S33">
        <v>5</v>
      </c>
      <c r="T33" t="s">
        <v>30</v>
      </c>
    </row>
    <row r="34" spans="1:20" x14ac:dyDescent="0.3">
      <c r="B34">
        <v>5</v>
      </c>
      <c r="C34">
        <v>4</v>
      </c>
      <c r="D34">
        <v>4</v>
      </c>
      <c r="E34">
        <v>3</v>
      </c>
      <c r="F34">
        <v>4</v>
      </c>
      <c r="G34">
        <v>4</v>
      </c>
      <c r="H34">
        <v>2</v>
      </c>
      <c r="I34">
        <v>5</v>
      </c>
      <c r="J34">
        <v>2</v>
      </c>
      <c r="K34">
        <v>3</v>
      </c>
      <c r="L34">
        <v>2</v>
      </c>
      <c r="M34">
        <v>4</v>
      </c>
      <c r="N34">
        <v>2</v>
      </c>
      <c r="O34">
        <v>2</v>
      </c>
      <c r="P34">
        <v>2</v>
      </c>
      <c r="Q34">
        <v>4</v>
      </c>
      <c r="R34">
        <v>4</v>
      </c>
      <c r="S34">
        <v>4</v>
      </c>
      <c r="T34" t="s">
        <v>30</v>
      </c>
    </row>
    <row r="35" spans="1:20" x14ac:dyDescent="0.3">
      <c r="B35">
        <v>5</v>
      </c>
      <c r="C35">
        <v>5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5</v>
      </c>
      <c r="K35">
        <v>2</v>
      </c>
      <c r="L35">
        <v>2</v>
      </c>
      <c r="M35">
        <v>4</v>
      </c>
      <c r="N35">
        <v>4</v>
      </c>
      <c r="O35">
        <v>4</v>
      </c>
      <c r="P35">
        <v>4</v>
      </c>
      <c r="Q35">
        <v>3</v>
      </c>
      <c r="R35">
        <v>5</v>
      </c>
      <c r="S35">
        <v>5</v>
      </c>
      <c r="T35" t="s">
        <v>30</v>
      </c>
    </row>
    <row r="36" spans="1:20" x14ac:dyDescent="0.3">
      <c r="B36">
        <v>5</v>
      </c>
      <c r="C36">
        <v>4</v>
      </c>
      <c r="D36">
        <v>4</v>
      </c>
      <c r="E36">
        <v>4</v>
      </c>
      <c r="F36">
        <v>5</v>
      </c>
      <c r="G36">
        <v>5</v>
      </c>
      <c r="H36">
        <v>4</v>
      </c>
      <c r="I36">
        <v>4</v>
      </c>
      <c r="J36">
        <v>3</v>
      </c>
      <c r="K36">
        <v>2</v>
      </c>
      <c r="L36">
        <v>2</v>
      </c>
      <c r="M36">
        <v>4</v>
      </c>
      <c r="N36">
        <v>3</v>
      </c>
      <c r="O36">
        <v>2</v>
      </c>
      <c r="P36">
        <v>4</v>
      </c>
      <c r="Q36">
        <v>3</v>
      </c>
      <c r="R36">
        <v>5</v>
      </c>
      <c r="S36">
        <v>5</v>
      </c>
      <c r="T36" t="s">
        <v>30</v>
      </c>
    </row>
    <row r="37" spans="1:20" x14ac:dyDescent="0.3">
      <c r="B37">
        <v>5</v>
      </c>
      <c r="C37">
        <v>5</v>
      </c>
      <c r="D37">
        <v>4</v>
      </c>
      <c r="E37">
        <v>3</v>
      </c>
      <c r="F37">
        <v>5</v>
      </c>
      <c r="G37">
        <v>5</v>
      </c>
      <c r="H37">
        <v>4</v>
      </c>
      <c r="I37">
        <v>4</v>
      </c>
      <c r="J37">
        <v>2</v>
      </c>
      <c r="K37">
        <v>2</v>
      </c>
      <c r="L37">
        <v>2</v>
      </c>
      <c r="M37">
        <v>4</v>
      </c>
      <c r="N37">
        <v>2</v>
      </c>
      <c r="O37">
        <v>2</v>
      </c>
      <c r="P37">
        <v>4</v>
      </c>
      <c r="Q37">
        <v>2</v>
      </c>
      <c r="R37">
        <v>5</v>
      </c>
      <c r="S37">
        <v>5</v>
      </c>
      <c r="T37" t="s">
        <v>30</v>
      </c>
    </row>
    <row r="38" spans="1:20" x14ac:dyDescent="0.3">
      <c r="B38">
        <v>4</v>
      </c>
      <c r="C38">
        <v>4</v>
      </c>
      <c r="D38">
        <v>4</v>
      </c>
      <c r="E38">
        <v>4</v>
      </c>
      <c r="F38">
        <v>5</v>
      </c>
      <c r="G38">
        <v>5</v>
      </c>
      <c r="H38">
        <v>4</v>
      </c>
      <c r="I38">
        <v>4</v>
      </c>
      <c r="J38">
        <v>3</v>
      </c>
      <c r="K38">
        <v>2</v>
      </c>
      <c r="L38">
        <v>4</v>
      </c>
      <c r="M38">
        <v>4</v>
      </c>
      <c r="N38">
        <v>2</v>
      </c>
      <c r="O38">
        <v>2</v>
      </c>
      <c r="P38">
        <v>4</v>
      </c>
      <c r="Q38">
        <v>2</v>
      </c>
      <c r="R38">
        <v>5</v>
      </c>
      <c r="S38">
        <v>5</v>
      </c>
      <c r="T38" t="s">
        <v>30</v>
      </c>
    </row>
    <row r="39" spans="1:20" x14ac:dyDescent="0.3">
      <c r="B39">
        <v>5</v>
      </c>
      <c r="C39">
        <v>4</v>
      </c>
      <c r="D39">
        <v>4</v>
      </c>
      <c r="E39">
        <v>3</v>
      </c>
      <c r="F39">
        <v>4</v>
      </c>
      <c r="G39">
        <v>4</v>
      </c>
      <c r="H39">
        <v>4</v>
      </c>
      <c r="I39">
        <v>3</v>
      </c>
      <c r="J39">
        <v>3</v>
      </c>
      <c r="K39">
        <v>2</v>
      </c>
      <c r="L39">
        <v>2</v>
      </c>
      <c r="M39">
        <v>2</v>
      </c>
      <c r="N39">
        <v>2</v>
      </c>
      <c r="O39">
        <v>3</v>
      </c>
      <c r="P39">
        <v>4</v>
      </c>
      <c r="Q39">
        <v>3</v>
      </c>
      <c r="R39">
        <v>5</v>
      </c>
      <c r="S39">
        <v>5</v>
      </c>
      <c r="T39" t="s">
        <v>30</v>
      </c>
    </row>
    <row r="41" spans="1:20" x14ac:dyDescent="0.3">
      <c r="A41" t="s">
        <v>162</v>
      </c>
      <c r="B41" s="20">
        <f>COUNTIF(B2:B39, "&gt;=4")/COUNT(B2:B39)</f>
        <v>0.86842105263157898</v>
      </c>
      <c r="C41" s="20">
        <f t="shared" ref="C41:R41" si="0">COUNTIF(C2:C39, "&gt;=4")/COUNT(C2:C39)</f>
        <v>0.73684210526315785</v>
      </c>
      <c r="D41" s="20">
        <f t="shared" si="0"/>
        <v>0.76315789473684215</v>
      </c>
      <c r="E41" s="20">
        <f t="shared" si="0"/>
        <v>0.68421052631578949</v>
      </c>
      <c r="F41" s="20">
        <f t="shared" si="0"/>
        <v>0.76315789473684215</v>
      </c>
      <c r="G41" s="20">
        <f t="shared" si="0"/>
        <v>0.89473684210526316</v>
      </c>
      <c r="H41" s="20">
        <f t="shared" si="0"/>
        <v>0.63157894736842102</v>
      </c>
      <c r="I41" s="20">
        <f t="shared" si="0"/>
        <v>0.52631578947368418</v>
      </c>
      <c r="J41" s="20">
        <f t="shared" si="0"/>
        <v>0.71052631578947367</v>
      </c>
      <c r="K41" s="20">
        <f t="shared" si="0"/>
        <v>0.57894736842105265</v>
      </c>
      <c r="L41" s="20">
        <f t="shared" si="0"/>
        <v>0.55263157894736847</v>
      </c>
      <c r="M41" s="20">
        <f t="shared" si="0"/>
        <v>0.63157894736842102</v>
      </c>
      <c r="N41" s="20">
        <f t="shared" si="0"/>
        <v>0.44736842105263158</v>
      </c>
      <c r="O41" s="20">
        <f t="shared" si="0"/>
        <v>0.55263157894736847</v>
      </c>
      <c r="P41" s="20">
        <f t="shared" si="0"/>
        <v>0.60526315789473684</v>
      </c>
      <c r="Q41" s="20">
        <f t="shared" si="0"/>
        <v>0.63157894736842102</v>
      </c>
      <c r="R41" s="20">
        <f t="shared" si="0"/>
        <v>0.92105263157894735</v>
      </c>
      <c r="S41" s="20">
        <f>COUNTIF(S2:S39, "&gt;=4")/COUNT(S2:S39)</f>
        <v>0.78947368421052633</v>
      </c>
    </row>
  </sheetData>
  <autoFilter ref="B1:T39" xr:uid="{6536F8B8-58E3-4399-A5AC-E6C19C2DA6A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194B-7D07-413B-AA1F-688D6F72B3F7}">
  <dimension ref="A3:AJ54"/>
  <sheetViews>
    <sheetView zoomScaleNormal="100" workbookViewId="0">
      <selection activeCell="AL12" sqref="AL12"/>
    </sheetView>
  </sheetViews>
  <sheetFormatPr defaultRowHeight="14.4" x14ac:dyDescent="0.3"/>
  <cols>
    <col min="1" max="1" width="11.5546875" customWidth="1"/>
    <col min="2" max="2" width="9" bestFit="1" customWidth="1"/>
    <col min="4" max="4" width="9" bestFit="1" customWidth="1"/>
    <col min="6" max="6" width="9" bestFit="1" customWidth="1"/>
    <col min="8" max="8" width="9" bestFit="1" customWidth="1"/>
    <col min="10" max="10" width="9" bestFit="1" customWidth="1"/>
    <col min="12" max="12" width="9" bestFit="1" customWidth="1"/>
    <col min="14" max="14" width="9" bestFit="1" customWidth="1"/>
    <col min="16" max="16" width="9" bestFit="1" customWidth="1"/>
    <col min="18" max="18" width="9" bestFit="1" customWidth="1"/>
    <col min="20" max="20" width="13.33203125" bestFit="1" customWidth="1"/>
    <col min="22" max="22" width="9" bestFit="1" customWidth="1"/>
  </cols>
  <sheetData>
    <row r="3" spans="1:36" ht="29.4" thickBot="1" x14ac:dyDescent="0.6">
      <c r="A3" s="27" t="s">
        <v>87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</row>
    <row r="4" spans="1:36" s="6" customFormat="1" ht="73.2" customHeight="1" x14ac:dyDescent="0.3">
      <c r="A4" s="5" t="s">
        <v>5</v>
      </c>
      <c r="B4" s="5"/>
      <c r="C4" s="5" t="s">
        <v>6</v>
      </c>
      <c r="D4" s="5"/>
      <c r="E4" s="5" t="s">
        <v>8</v>
      </c>
      <c r="F4" s="5"/>
      <c r="G4" s="5" t="s">
        <v>9</v>
      </c>
      <c r="H4" s="5"/>
      <c r="I4" s="5" t="s">
        <v>10</v>
      </c>
      <c r="J4" s="5"/>
      <c r="K4" s="5" t="s">
        <v>11</v>
      </c>
      <c r="L4" s="5"/>
      <c r="M4" s="5" t="s">
        <v>12</v>
      </c>
      <c r="N4" s="5"/>
      <c r="O4" s="5" t="s">
        <v>13</v>
      </c>
      <c r="P4" s="5"/>
      <c r="Q4" s="5" t="s">
        <v>14</v>
      </c>
      <c r="R4" s="5"/>
      <c r="S4" s="5" t="s">
        <v>15</v>
      </c>
      <c r="T4" s="5"/>
      <c r="U4" s="5" t="s">
        <v>16</v>
      </c>
      <c r="V4" s="5"/>
      <c r="W4" s="5" t="s">
        <v>17</v>
      </c>
      <c r="X4" s="5"/>
      <c r="Y4" s="5" t="s">
        <v>18</v>
      </c>
      <c r="Z4" s="5"/>
      <c r="AA4" s="5" t="s">
        <v>19</v>
      </c>
      <c r="AB4" s="5"/>
      <c r="AC4" s="5" t="s">
        <v>20</v>
      </c>
      <c r="AD4" s="5"/>
      <c r="AE4" s="5" t="s">
        <v>21</v>
      </c>
      <c r="AF4" s="5"/>
      <c r="AG4" s="5" t="s">
        <v>22</v>
      </c>
      <c r="AH4" s="5"/>
      <c r="AI4" s="5" t="s">
        <v>23</v>
      </c>
      <c r="AJ4" s="5"/>
    </row>
    <row r="6" spans="1:36" x14ac:dyDescent="0.3">
      <c r="A6" t="s">
        <v>74</v>
      </c>
      <c r="B6">
        <v>4.2105263157894735</v>
      </c>
      <c r="C6" t="s">
        <v>74</v>
      </c>
      <c r="D6">
        <v>4.0263157894736841</v>
      </c>
      <c r="E6" t="s">
        <v>74</v>
      </c>
      <c r="F6">
        <v>3.9210526315789473</v>
      </c>
      <c r="G6" t="s">
        <v>74</v>
      </c>
      <c r="H6">
        <v>3.6315789473684212</v>
      </c>
      <c r="I6" t="s">
        <v>74</v>
      </c>
      <c r="J6">
        <v>3.8947368421052633</v>
      </c>
      <c r="K6" t="s">
        <v>74</v>
      </c>
      <c r="L6">
        <v>4.3157894736842106</v>
      </c>
      <c r="M6" t="s">
        <v>74</v>
      </c>
      <c r="N6">
        <v>3.4473684210526314</v>
      </c>
      <c r="O6" t="s">
        <v>74</v>
      </c>
      <c r="P6">
        <v>3.1578947368421053</v>
      </c>
      <c r="Q6" t="s">
        <v>74</v>
      </c>
      <c r="R6">
        <v>4.0263157894736841</v>
      </c>
      <c r="S6" t="s">
        <v>74</v>
      </c>
      <c r="T6">
        <v>3.5263157894736841</v>
      </c>
      <c r="U6" t="s">
        <v>74</v>
      </c>
      <c r="V6">
        <v>3.3157894736842106</v>
      </c>
      <c r="W6" t="s">
        <v>74</v>
      </c>
      <c r="X6">
        <v>3.5526315789473686</v>
      </c>
      <c r="Y6" t="s">
        <v>74</v>
      </c>
      <c r="Z6">
        <v>3.1052631578947367</v>
      </c>
      <c r="AA6" t="s">
        <v>74</v>
      </c>
      <c r="AB6">
        <v>3.3947368421052633</v>
      </c>
      <c r="AC6" t="s">
        <v>74</v>
      </c>
      <c r="AD6">
        <v>3.5526315789473686</v>
      </c>
      <c r="AE6" t="s">
        <v>74</v>
      </c>
      <c r="AF6">
        <v>3.8421052631578947</v>
      </c>
      <c r="AG6" t="s">
        <v>74</v>
      </c>
      <c r="AH6">
        <v>4.4736842105263159</v>
      </c>
      <c r="AI6" t="s">
        <v>74</v>
      </c>
      <c r="AJ6">
        <v>4.2368421052631575</v>
      </c>
    </row>
    <row r="7" spans="1:36" x14ac:dyDescent="0.3">
      <c r="A7" t="s">
        <v>75</v>
      </c>
      <c r="B7">
        <v>0.18149801317481165</v>
      </c>
      <c r="C7" t="s">
        <v>75</v>
      </c>
      <c r="D7">
        <v>0.1866331249700291</v>
      </c>
      <c r="E7" t="s">
        <v>75</v>
      </c>
      <c r="F7">
        <v>0.17439829068619112</v>
      </c>
      <c r="G7" t="s">
        <v>75</v>
      </c>
      <c r="H7">
        <v>0.17043602618207868</v>
      </c>
      <c r="I7" t="s">
        <v>75</v>
      </c>
      <c r="J7">
        <v>0.18004849071918594</v>
      </c>
      <c r="K7" t="s">
        <v>75</v>
      </c>
      <c r="L7">
        <v>0.14658397191385178</v>
      </c>
      <c r="M7" t="s">
        <v>75</v>
      </c>
      <c r="N7">
        <v>0.17568143458981181</v>
      </c>
      <c r="O7" t="s">
        <v>75</v>
      </c>
      <c r="P7">
        <v>0.21509968508280564</v>
      </c>
      <c r="Q7" t="s">
        <v>75</v>
      </c>
      <c r="R7">
        <v>0.1748270517283341</v>
      </c>
      <c r="S7" t="s">
        <v>75</v>
      </c>
      <c r="T7">
        <v>0.20566943780294153</v>
      </c>
      <c r="U7" t="s">
        <v>75</v>
      </c>
      <c r="V7">
        <v>0.20693957432623991</v>
      </c>
      <c r="W7" t="s">
        <v>75</v>
      </c>
      <c r="X7">
        <v>0.1715852305790003</v>
      </c>
      <c r="Y7" t="s">
        <v>75</v>
      </c>
      <c r="Z7">
        <v>0.19153298496685547</v>
      </c>
      <c r="AA7" t="s">
        <v>75</v>
      </c>
      <c r="AB7">
        <v>0.19429807168453297</v>
      </c>
      <c r="AC7" t="s">
        <v>75</v>
      </c>
      <c r="AD7">
        <v>0.19849135270748733</v>
      </c>
      <c r="AE7" t="s">
        <v>75</v>
      </c>
      <c r="AF7">
        <v>0.18293605047270342</v>
      </c>
      <c r="AG7" t="s">
        <v>75</v>
      </c>
      <c r="AH7">
        <v>0.16755645788605625</v>
      </c>
      <c r="AI7" t="s">
        <v>75</v>
      </c>
      <c r="AJ7">
        <v>0.18643244413245313</v>
      </c>
    </row>
    <row r="8" spans="1:36" x14ac:dyDescent="0.3">
      <c r="A8" t="s">
        <v>76</v>
      </c>
      <c r="B8">
        <v>4.5</v>
      </c>
      <c r="C8" t="s">
        <v>76</v>
      </c>
      <c r="D8">
        <v>4</v>
      </c>
      <c r="E8" t="s">
        <v>76</v>
      </c>
      <c r="F8">
        <v>4</v>
      </c>
      <c r="G8" t="s">
        <v>76</v>
      </c>
      <c r="H8">
        <v>4</v>
      </c>
      <c r="I8" t="s">
        <v>76</v>
      </c>
      <c r="J8">
        <v>4</v>
      </c>
      <c r="K8" t="s">
        <v>76</v>
      </c>
      <c r="L8">
        <v>4.5</v>
      </c>
      <c r="M8" t="s">
        <v>76</v>
      </c>
      <c r="N8">
        <v>4</v>
      </c>
      <c r="O8" t="s">
        <v>76</v>
      </c>
      <c r="P8">
        <v>4</v>
      </c>
      <c r="Q8" t="s">
        <v>76</v>
      </c>
      <c r="R8">
        <v>4</v>
      </c>
      <c r="S8" t="s">
        <v>76</v>
      </c>
      <c r="T8">
        <v>4</v>
      </c>
      <c r="U8" t="s">
        <v>76</v>
      </c>
      <c r="V8">
        <v>4</v>
      </c>
      <c r="W8" t="s">
        <v>76</v>
      </c>
      <c r="X8">
        <v>4</v>
      </c>
      <c r="Y8" t="s">
        <v>76</v>
      </c>
      <c r="Z8">
        <v>3</v>
      </c>
      <c r="AA8" t="s">
        <v>76</v>
      </c>
      <c r="AB8">
        <v>4</v>
      </c>
      <c r="AC8" t="s">
        <v>76</v>
      </c>
      <c r="AD8">
        <v>4</v>
      </c>
      <c r="AE8" t="s">
        <v>76</v>
      </c>
      <c r="AF8">
        <v>4</v>
      </c>
      <c r="AG8" t="s">
        <v>76</v>
      </c>
      <c r="AH8">
        <v>5</v>
      </c>
      <c r="AI8" t="s">
        <v>76</v>
      </c>
      <c r="AJ8">
        <v>5</v>
      </c>
    </row>
    <row r="9" spans="1:36" x14ac:dyDescent="0.3">
      <c r="A9" t="s">
        <v>77</v>
      </c>
      <c r="B9">
        <v>5</v>
      </c>
      <c r="C9" t="s">
        <v>77</v>
      </c>
      <c r="D9">
        <v>5</v>
      </c>
      <c r="E9" t="s">
        <v>77</v>
      </c>
      <c r="F9">
        <v>4</v>
      </c>
      <c r="G9" t="s">
        <v>77</v>
      </c>
      <c r="H9">
        <v>4</v>
      </c>
      <c r="I9" t="s">
        <v>77</v>
      </c>
      <c r="J9">
        <v>4</v>
      </c>
      <c r="K9" t="s">
        <v>77</v>
      </c>
      <c r="L9">
        <v>5</v>
      </c>
      <c r="M9" t="s">
        <v>77</v>
      </c>
      <c r="N9">
        <v>4</v>
      </c>
      <c r="O9" t="s">
        <v>77</v>
      </c>
      <c r="P9">
        <v>4</v>
      </c>
      <c r="Q9" t="s">
        <v>77</v>
      </c>
      <c r="R9">
        <v>5</v>
      </c>
      <c r="S9" t="s">
        <v>77</v>
      </c>
      <c r="T9">
        <v>4</v>
      </c>
      <c r="U9" t="s">
        <v>77</v>
      </c>
      <c r="V9">
        <v>4</v>
      </c>
      <c r="W9" t="s">
        <v>77</v>
      </c>
      <c r="X9">
        <v>4</v>
      </c>
      <c r="Y9" t="s">
        <v>77</v>
      </c>
      <c r="Z9">
        <v>4</v>
      </c>
      <c r="AA9" t="s">
        <v>77</v>
      </c>
      <c r="AB9">
        <v>4</v>
      </c>
      <c r="AC9" t="s">
        <v>77</v>
      </c>
      <c r="AD9">
        <v>4</v>
      </c>
      <c r="AE9" t="s">
        <v>77</v>
      </c>
      <c r="AF9">
        <v>5</v>
      </c>
      <c r="AG9" t="s">
        <v>77</v>
      </c>
      <c r="AH9">
        <v>5</v>
      </c>
      <c r="AI9" t="s">
        <v>77</v>
      </c>
      <c r="AJ9">
        <v>5</v>
      </c>
    </row>
    <row r="10" spans="1:36" x14ac:dyDescent="0.3">
      <c r="A10" t="s">
        <v>78</v>
      </c>
      <c r="B10">
        <v>1.1188288939258566</v>
      </c>
      <c r="C10" t="s">
        <v>78</v>
      </c>
      <c r="D10">
        <v>1.1504838489831062</v>
      </c>
      <c r="E10" t="s">
        <v>78</v>
      </c>
      <c r="F10">
        <v>1.0750632651998104</v>
      </c>
      <c r="G10" t="s">
        <v>78</v>
      </c>
      <c r="H10">
        <v>1.0506382264071927</v>
      </c>
      <c r="I10" t="s">
        <v>78</v>
      </c>
      <c r="J10">
        <v>1.1098934374027796</v>
      </c>
      <c r="K10" t="s">
        <v>78</v>
      </c>
      <c r="L10">
        <v>0.90360428907655899</v>
      </c>
      <c r="M10" t="s">
        <v>78</v>
      </c>
      <c r="N10">
        <v>1.0829730954471142</v>
      </c>
      <c r="O10" t="s">
        <v>78</v>
      </c>
      <c r="P10">
        <v>1.325963510758664</v>
      </c>
      <c r="Q10" t="s">
        <v>78</v>
      </c>
      <c r="R10">
        <v>1.0777063257719242</v>
      </c>
      <c r="S10" t="s">
        <v>78</v>
      </c>
      <c r="T10">
        <v>1.2678315623752097</v>
      </c>
      <c r="U10" t="s">
        <v>78</v>
      </c>
      <c r="V10">
        <v>1.2756612097451125</v>
      </c>
      <c r="W10" t="s">
        <v>78</v>
      </c>
      <c r="X10">
        <v>1.0577223980838499</v>
      </c>
      <c r="Y10" t="s">
        <v>78</v>
      </c>
      <c r="Z10">
        <v>1.1806886145601303</v>
      </c>
      <c r="AA10" t="s">
        <v>78</v>
      </c>
      <c r="AB10">
        <v>1.197733753842005</v>
      </c>
      <c r="AC10" t="s">
        <v>78</v>
      </c>
      <c r="AD10">
        <v>1.2235828740982888</v>
      </c>
      <c r="AE10" t="s">
        <v>78</v>
      </c>
      <c r="AF10">
        <v>1.1276935511817723</v>
      </c>
      <c r="AG10" t="s">
        <v>78</v>
      </c>
      <c r="AH10">
        <v>1.0328873752806866</v>
      </c>
      <c r="AI10" t="s">
        <v>78</v>
      </c>
      <c r="AJ10">
        <v>1.1492467692178254</v>
      </c>
    </row>
    <row r="11" spans="1:36" x14ac:dyDescent="0.3">
      <c r="A11" t="s">
        <v>79</v>
      </c>
      <c r="B11">
        <v>1.2517780938833558</v>
      </c>
      <c r="C11" t="s">
        <v>79</v>
      </c>
      <c r="D11">
        <v>1.3236130867709825</v>
      </c>
      <c r="E11" t="s">
        <v>79</v>
      </c>
      <c r="F11">
        <v>1.1557610241820777</v>
      </c>
      <c r="G11" t="s">
        <v>79</v>
      </c>
      <c r="H11">
        <v>1.1038406827880518</v>
      </c>
      <c r="I11" t="s">
        <v>79</v>
      </c>
      <c r="J11">
        <v>1.2318634423897579</v>
      </c>
      <c r="K11" t="s">
        <v>79</v>
      </c>
      <c r="L11">
        <v>0.81650071123755352</v>
      </c>
      <c r="M11" t="s">
        <v>79</v>
      </c>
      <c r="N11">
        <v>1.1728307254623043</v>
      </c>
      <c r="O11" t="s">
        <v>79</v>
      </c>
      <c r="P11">
        <v>1.7581792318634417</v>
      </c>
      <c r="Q11" t="s">
        <v>79</v>
      </c>
      <c r="R11">
        <v>1.1614509246088205</v>
      </c>
      <c r="S11" t="s">
        <v>79</v>
      </c>
      <c r="T11">
        <v>1.607396870554765</v>
      </c>
      <c r="U11" t="s">
        <v>79</v>
      </c>
      <c r="V11">
        <v>1.6273115220483643</v>
      </c>
      <c r="W11" t="s">
        <v>79</v>
      </c>
      <c r="X11">
        <v>1.1187766714082503</v>
      </c>
      <c r="Y11" t="s">
        <v>79</v>
      </c>
      <c r="Z11">
        <v>1.3940256045519199</v>
      </c>
      <c r="AA11" t="s">
        <v>79</v>
      </c>
      <c r="AB11">
        <v>1.4345661450924605</v>
      </c>
      <c r="AC11" t="s">
        <v>79</v>
      </c>
      <c r="AD11">
        <v>1.4971550497866286</v>
      </c>
      <c r="AE11" t="s">
        <v>79</v>
      </c>
      <c r="AF11">
        <v>1.2716927453769566</v>
      </c>
      <c r="AG11" t="s">
        <v>79</v>
      </c>
      <c r="AH11">
        <v>1.066856330014226</v>
      </c>
      <c r="AI11" t="s">
        <v>79</v>
      </c>
      <c r="AJ11">
        <v>1.3207681365576098</v>
      </c>
    </row>
    <row r="12" spans="1:36" x14ac:dyDescent="0.3">
      <c r="A12" t="s">
        <v>80</v>
      </c>
      <c r="B12">
        <v>3.4440705922864998</v>
      </c>
      <c r="C12" t="s">
        <v>80</v>
      </c>
      <c r="D12">
        <v>0.7942952031136814</v>
      </c>
      <c r="E12" t="s">
        <v>80</v>
      </c>
      <c r="F12">
        <v>1.3265553347985337</v>
      </c>
      <c r="G12" t="s">
        <v>80</v>
      </c>
      <c r="H12">
        <v>0.56583798946298058</v>
      </c>
      <c r="I12" t="s">
        <v>80</v>
      </c>
      <c r="J12">
        <v>0.92115811746669074</v>
      </c>
      <c r="K12" t="s">
        <v>80</v>
      </c>
      <c r="L12">
        <v>4.3671982466820198</v>
      </c>
      <c r="M12" t="s">
        <v>80</v>
      </c>
      <c r="N12">
        <v>-0.30646116442363258</v>
      </c>
      <c r="O12" t="s">
        <v>80</v>
      </c>
      <c r="P12">
        <v>-1.1225520559812181</v>
      </c>
      <c r="Q12" t="s">
        <v>80</v>
      </c>
      <c r="R12">
        <v>-0.75614548871010534</v>
      </c>
      <c r="S12" t="s">
        <v>80</v>
      </c>
      <c r="T12">
        <v>-1.374933130461051</v>
      </c>
      <c r="U12" t="s">
        <v>80</v>
      </c>
      <c r="V12">
        <v>-1.1505445312263491</v>
      </c>
      <c r="W12" t="s">
        <v>80</v>
      </c>
      <c r="X12">
        <v>-0.44681119031231908</v>
      </c>
      <c r="Y12" t="s">
        <v>80</v>
      </c>
      <c r="Z12">
        <v>-1.0473683584220868</v>
      </c>
      <c r="AA12" t="s">
        <v>80</v>
      </c>
      <c r="AB12">
        <v>-0.96818312141962748</v>
      </c>
      <c r="AC12" t="s">
        <v>80</v>
      </c>
      <c r="AD12">
        <v>-0.46367170876565655</v>
      </c>
      <c r="AE12" t="s">
        <v>80</v>
      </c>
      <c r="AF12">
        <v>-0.48784574983394746</v>
      </c>
      <c r="AG12" t="s">
        <v>80</v>
      </c>
      <c r="AH12">
        <v>5.9877210412698343</v>
      </c>
      <c r="AI12" t="s">
        <v>80</v>
      </c>
      <c r="AJ12">
        <v>0.83618615623595005</v>
      </c>
    </row>
    <row r="13" spans="1:36" x14ac:dyDescent="0.3">
      <c r="A13" t="s">
        <v>81</v>
      </c>
      <c r="B13">
        <v>-1.9067556664966718</v>
      </c>
      <c r="C13" t="s">
        <v>81</v>
      </c>
      <c r="D13">
        <v>-1.1777707876809018</v>
      </c>
      <c r="E13" t="s">
        <v>81</v>
      </c>
      <c r="F13">
        <v>-1.213524289077917</v>
      </c>
      <c r="G13" t="s">
        <v>81</v>
      </c>
      <c r="H13">
        <v>-0.95834401121766011</v>
      </c>
      <c r="I13" t="s">
        <v>81</v>
      </c>
      <c r="J13">
        <v>-1.1593536839272145</v>
      </c>
      <c r="K13" t="s">
        <v>81</v>
      </c>
      <c r="L13">
        <v>-1.8489638966017719</v>
      </c>
      <c r="M13" t="s">
        <v>81</v>
      </c>
      <c r="N13">
        <v>-0.73318218064745999</v>
      </c>
      <c r="O13" t="s">
        <v>81</v>
      </c>
      <c r="P13">
        <v>-0.378914789426257</v>
      </c>
      <c r="Q13" t="s">
        <v>81</v>
      </c>
      <c r="R13">
        <v>-0.7383018612906227</v>
      </c>
      <c r="S13" t="s">
        <v>81</v>
      </c>
      <c r="T13">
        <v>-0.27222286745744456</v>
      </c>
      <c r="U13" t="s">
        <v>81</v>
      </c>
      <c r="V13">
        <v>-0.30561416846565181</v>
      </c>
      <c r="W13" t="s">
        <v>81</v>
      </c>
      <c r="X13">
        <v>-0.57959783603354642</v>
      </c>
      <c r="Y13" t="s">
        <v>81</v>
      </c>
      <c r="Z13">
        <v>-0.10975953789727466</v>
      </c>
      <c r="AA13" t="s">
        <v>81</v>
      </c>
      <c r="AB13">
        <v>-0.33528863433755768</v>
      </c>
      <c r="AC13" t="s">
        <v>81</v>
      </c>
      <c r="AD13">
        <v>-0.64242883863632883</v>
      </c>
      <c r="AE13" t="s">
        <v>81</v>
      </c>
      <c r="AF13">
        <v>-0.62787775148058544</v>
      </c>
      <c r="AG13" t="s">
        <v>81</v>
      </c>
      <c r="AH13">
        <v>-2.4888160395687762</v>
      </c>
      <c r="AI13" t="s">
        <v>81</v>
      </c>
      <c r="AJ13">
        <v>-1.3950901243400531</v>
      </c>
    </row>
    <row r="14" spans="1:36" x14ac:dyDescent="0.3">
      <c r="A14" t="s">
        <v>82</v>
      </c>
      <c r="B14">
        <v>4</v>
      </c>
      <c r="C14" t="s">
        <v>82</v>
      </c>
      <c r="D14">
        <v>4</v>
      </c>
      <c r="E14" t="s">
        <v>82</v>
      </c>
      <c r="F14">
        <v>4</v>
      </c>
      <c r="G14" t="s">
        <v>82</v>
      </c>
      <c r="H14">
        <v>4</v>
      </c>
      <c r="I14" t="s">
        <v>82</v>
      </c>
      <c r="J14">
        <v>4</v>
      </c>
      <c r="K14" t="s">
        <v>82</v>
      </c>
      <c r="L14">
        <v>4</v>
      </c>
      <c r="M14" t="s">
        <v>82</v>
      </c>
      <c r="N14">
        <v>4</v>
      </c>
      <c r="O14" t="s">
        <v>82</v>
      </c>
      <c r="P14">
        <v>4</v>
      </c>
      <c r="Q14" t="s">
        <v>82</v>
      </c>
      <c r="R14">
        <v>3</v>
      </c>
      <c r="S14" t="s">
        <v>82</v>
      </c>
      <c r="T14">
        <v>4</v>
      </c>
      <c r="U14" t="s">
        <v>82</v>
      </c>
      <c r="V14">
        <v>4</v>
      </c>
      <c r="W14" t="s">
        <v>82</v>
      </c>
      <c r="X14">
        <v>4</v>
      </c>
      <c r="Y14" t="s">
        <v>82</v>
      </c>
      <c r="Z14">
        <v>4</v>
      </c>
      <c r="AA14" t="s">
        <v>82</v>
      </c>
      <c r="AB14">
        <v>4</v>
      </c>
      <c r="AC14" t="s">
        <v>82</v>
      </c>
      <c r="AD14">
        <v>4</v>
      </c>
      <c r="AE14" t="s">
        <v>82</v>
      </c>
      <c r="AF14">
        <v>4</v>
      </c>
      <c r="AG14" t="s">
        <v>82</v>
      </c>
      <c r="AH14">
        <v>4</v>
      </c>
      <c r="AI14" t="s">
        <v>82</v>
      </c>
      <c r="AJ14">
        <v>4</v>
      </c>
    </row>
    <row r="15" spans="1:36" x14ac:dyDescent="0.3">
      <c r="A15" t="s">
        <v>83</v>
      </c>
      <c r="B15">
        <v>1</v>
      </c>
      <c r="C15" t="s">
        <v>83</v>
      </c>
      <c r="D15">
        <v>1</v>
      </c>
      <c r="E15" t="s">
        <v>83</v>
      </c>
      <c r="F15">
        <v>1</v>
      </c>
      <c r="G15" t="s">
        <v>83</v>
      </c>
      <c r="H15">
        <v>1</v>
      </c>
      <c r="I15" t="s">
        <v>83</v>
      </c>
      <c r="J15">
        <v>1</v>
      </c>
      <c r="K15" t="s">
        <v>83</v>
      </c>
      <c r="L15">
        <v>1</v>
      </c>
      <c r="M15" t="s">
        <v>83</v>
      </c>
      <c r="N15">
        <v>1</v>
      </c>
      <c r="O15" t="s">
        <v>83</v>
      </c>
      <c r="P15">
        <v>1</v>
      </c>
      <c r="Q15" t="s">
        <v>83</v>
      </c>
      <c r="R15">
        <v>2</v>
      </c>
      <c r="S15" t="s">
        <v>83</v>
      </c>
      <c r="T15">
        <v>1</v>
      </c>
      <c r="U15" t="s">
        <v>83</v>
      </c>
      <c r="V15">
        <v>1</v>
      </c>
      <c r="W15" t="s">
        <v>83</v>
      </c>
      <c r="X15">
        <v>1</v>
      </c>
      <c r="Y15" t="s">
        <v>83</v>
      </c>
      <c r="Z15">
        <v>1</v>
      </c>
      <c r="AA15" t="s">
        <v>83</v>
      </c>
      <c r="AB15">
        <v>1</v>
      </c>
      <c r="AC15" t="s">
        <v>83</v>
      </c>
      <c r="AD15">
        <v>1</v>
      </c>
      <c r="AE15" t="s">
        <v>83</v>
      </c>
      <c r="AF15">
        <v>1</v>
      </c>
      <c r="AG15" t="s">
        <v>83</v>
      </c>
      <c r="AH15">
        <v>1</v>
      </c>
      <c r="AI15" t="s">
        <v>83</v>
      </c>
      <c r="AJ15">
        <v>1</v>
      </c>
    </row>
    <row r="16" spans="1:36" x14ac:dyDescent="0.3">
      <c r="A16" t="s">
        <v>84</v>
      </c>
      <c r="B16">
        <v>5</v>
      </c>
      <c r="C16" t="s">
        <v>84</v>
      </c>
      <c r="D16">
        <v>5</v>
      </c>
      <c r="E16" t="s">
        <v>84</v>
      </c>
      <c r="F16">
        <v>5</v>
      </c>
      <c r="G16" t="s">
        <v>84</v>
      </c>
      <c r="H16">
        <v>5</v>
      </c>
      <c r="I16" t="s">
        <v>84</v>
      </c>
      <c r="J16">
        <v>5</v>
      </c>
      <c r="K16" t="s">
        <v>84</v>
      </c>
      <c r="L16">
        <v>5</v>
      </c>
      <c r="M16" t="s">
        <v>84</v>
      </c>
      <c r="N16">
        <v>5</v>
      </c>
      <c r="O16" t="s">
        <v>84</v>
      </c>
      <c r="P16">
        <v>5</v>
      </c>
      <c r="Q16" t="s">
        <v>84</v>
      </c>
      <c r="R16">
        <v>5</v>
      </c>
      <c r="S16" t="s">
        <v>84</v>
      </c>
      <c r="T16">
        <v>5</v>
      </c>
      <c r="U16" t="s">
        <v>84</v>
      </c>
      <c r="V16">
        <v>5</v>
      </c>
      <c r="W16" t="s">
        <v>84</v>
      </c>
      <c r="X16">
        <v>5</v>
      </c>
      <c r="Y16" t="s">
        <v>84</v>
      </c>
      <c r="Z16">
        <v>5</v>
      </c>
      <c r="AA16" t="s">
        <v>84</v>
      </c>
      <c r="AB16">
        <v>5</v>
      </c>
      <c r="AC16" t="s">
        <v>84</v>
      </c>
      <c r="AD16">
        <v>5</v>
      </c>
      <c r="AE16" t="s">
        <v>84</v>
      </c>
      <c r="AF16">
        <v>5</v>
      </c>
      <c r="AG16" t="s">
        <v>84</v>
      </c>
      <c r="AH16">
        <v>5</v>
      </c>
      <c r="AI16" t="s">
        <v>84</v>
      </c>
      <c r="AJ16">
        <v>5</v>
      </c>
    </row>
    <row r="17" spans="1:36" x14ac:dyDescent="0.3">
      <c r="A17" t="s">
        <v>85</v>
      </c>
      <c r="B17">
        <v>160</v>
      </c>
      <c r="C17" t="s">
        <v>85</v>
      </c>
      <c r="D17">
        <v>153</v>
      </c>
      <c r="E17" t="s">
        <v>85</v>
      </c>
      <c r="F17">
        <v>149</v>
      </c>
      <c r="G17" t="s">
        <v>85</v>
      </c>
      <c r="H17">
        <v>138</v>
      </c>
      <c r="I17" t="s">
        <v>85</v>
      </c>
      <c r="J17">
        <v>148</v>
      </c>
      <c r="K17" t="s">
        <v>85</v>
      </c>
      <c r="L17">
        <v>164</v>
      </c>
      <c r="M17" t="s">
        <v>85</v>
      </c>
      <c r="N17">
        <v>131</v>
      </c>
      <c r="O17" t="s">
        <v>85</v>
      </c>
      <c r="P17">
        <v>120</v>
      </c>
      <c r="Q17" t="s">
        <v>85</v>
      </c>
      <c r="R17">
        <v>153</v>
      </c>
      <c r="S17" t="s">
        <v>85</v>
      </c>
      <c r="T17">
        <v>134</v>
      </c>
      <c r="U17" t="s">
        <v>85</v>
      </c>
      <c r="V17">
        <v>126</v>
      </c>
      <c r="W17" t="s">
        <v>85</v>
      </c>
      <c r="X17">
        <v>135</v>
      </c>
      <c r="Y17" t="s">
        <v>85</v>
      </c>
      <c r="Z17">
        <v>118</v>
      </c>
      <c r="AA17" t="s">
        <v>85</v>
      </c>
      <c r="AB17">
        <v>129</v>
      </c>
      <c r="AC17" t="s">
        <v>85</v>
      </c>
      <c r="AD17">
        <v>135</v>
      </c>
      <c r="AE17" t="s">
        <v>85</v>
      </c>
      <c r="AF17">
        <v>146</v>
      </c>
      <c r="AG17" t="s">
        <v>85</v>
      </c>
      <c r="AH17">
        <v>170</v>
      </c>
      <c r="AI17" t="s">
        <v>85</v>
      </c>
      <c r="AJ17">
        <v>161</v>
      </c>
    </row>
    <row r="18" spans="1:36" ht="15" thickBot="1" x14ac:dyDescent="0.35">
      <c r="A18" s="3" t="s">
        <v>86</v>
      </c>
      <c r="B18" s="3">
        <v>38</v>
      </c>
      <c r="C18" s="3" t="s">
        <v>86</v>
      </c>
      <c r="D18" s="3">
        <v>38</v>
      </c>
      <c r="E18" s="3" t="s">
        <v>86</v>
      </c>
      <c r="F18" s="3">
        <v>38</v>
      </c>
      <c r="G18" s="3" t="s">
        <v>86</v>
      </c>
      <c r="H18" s="3">
        <v>38</v>
      </c>
      <c r="I18" s="3" t="s">
        <v>86</v>
      </c>
      <c r="J18" s="3">
        <v>38</v>
      </c>
      <c r="K18" s="3" t="s">
        <v>86</v>
      </c>
      <c r="L18" s="3">
        <v>38</v>
      </c>
      <c r="M18" s="3" t="s">
        <v>86</v>
      </c>
      <c r="N18" s="3">
        <v>38</v>
      </c>
      <c r="O18" s="3" t="s">
        <v>86</v>
      </c>
      <c r="P18" s="3">
        <v>38</v>
      </c>
      <c r="Q18" s="3" t="s">
        <v>86</v>
      </c>
      <c r="R18" s="3">
        <v>38</v>
      </c>
      <c r="S18" s="3" t="s">
        <v>86</v>
      </c>
      <c r="T18" s="3">
        <v>38</v>
      </c>
      <c r="U18" s="3" t="s">
        <v>86</v>
      </c>
      <c r="V18" s="3">
        <v>38</v>
      </c>
      <c r="W18" s="3" t="s">
        <v>86</v>
      </c>
      <c r="X18" s="3">
        <v>38</v>
      </c>
      <c r="Y18" s="3" t="s">
        <v>86</v>
      </c>
      <c r="Z18" s="3">
        <v>38</v>
      </c>
      <c r="AA18" s="3" t="s">
        <v>86</v>
      </c>
      <c r="AB18" s="3">
        <v>38</v>
      </c>
      <c r="AC18" s="3" t="s">
        <v>86</v>
      </c>
      <c r="AD18" s="3">
        <v>38</v>
      </c>
      <c r="AE18" s="3" t="s">
        <v>86</v>
      </c>
      <c r="AF18" s="3">
        <v>38</v>
      </c>
      <c r="AG18" s="3" t="s">
        <v>86</v>
      </c>
      <c r="AH18" s="3">
        <v>38</v>
      </c>
      <c r="AI18" s="3" t="s">
        <v>86</v>
      </c>
      <c r="AJ18" s="3">
        <v>38</v>
      </c>
    </row>
    <row r="21" spans="1:36" ht="29.4" thickBot="1" x14ac:dyDescent="0.6">
      <c r="A21" s="27" t="s">
        <v>88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1:36" s="6" customFormat="1" ht="73.2" customHeight="1" x14ac:dyDescent="0.3">
      <c r="A22" s="5" t="s">
        <v>5</v>
      </c>
      <c r="B22" s="5"/>
      <c r="C22" s="5" t="s">
        <v>6</v>
      </c>
      <c r="D22" s="5"/>
      <c r="E22" s="5" t="s">
        <v>8</v>
      </c>
      <c r="F22" s="5"/>
      <c r="G22" s="5" t="s">
        <v>9</v>
      </c>
      <c r="H22" s="5"/>
      <c r="I22" s="5" t="s">
        <v>10</v>
      </c>
      <c r="J22" s="5"/>
      <c r="K22" s="5" t="s">
        <v>11</v>
      </c>
      <c r="L22" s="5"/>
      <c r="M22" s="5" t="s">
        <v>12</v>
      </c>
      <c r="N22" s="5"/>
      <c r="O22" s="5" t="s">
        <v>13</v>
      </c>
      <c r="P22" s="5"/>
      <c r="Q22" s="5" t="s">
        <v>14</v>
      </c>
      <c r="R22" s="5"/>
      <c r="S22" s="5" t="s">
        <v>15</v>
      </c>
      <c r="T22" s="5"/>
      <c r="U22" s="5" t="s">
        <v>16</v>
      </c>
      <c r="V22" s="5"/>
      <c r="W22" s="5" t="s">
        <v>17</v>
      </c>
      <c r="X22" s="5"/>
      <c r="Y22" s="5" t="s">
        <v>18</v>
      </c>
      <c r="Z22" s="5"/>
      <c r="AA22" s="5" t="s">
        <v>19</v>
      </c>
      <c r="AB22" s="5"/>
      <c r="AC22" s="5" t="s">
        <v>20</v>
      </c>
      <c r="AD22" s="5"/>
      <c r="AE22" s="5" t="s">
        <v>21</v>
      </c>
      <c r="AF22" s="5"/>
      <c r="AG22" s="5" t="s">
        <v>22</v>
      </c>
      <c r="AH22" s="5"/>
      <c r="AI22" s="5" t="s">
        <v>23</v>
      </c>
      <c r="AJ22" s="5"/>
    </row>
    <row r="24" spans="1:36" x14ac:dyDescent="0.3">
      <c r="A24" t="s">
        <v>74</v>
      </c>
      <c r="B24">
        <v>4.6363636363636367</v>
      </c>
      <c r="C24" t="s">
        <v>74</v>
      </c>
      <c r="D24">
        <v>4.5454545454545459</v>
      </c>
      <c r="E24" t="s">
        <v>74</v>
      </c>
      <c r="F24">
        <v>4.3636363636363633</v>
      </c>
      <c r="G24" t="s">
        <v>74</v>
      </c>
      <c r="H24">
        <v>4.1818181818181817</v>
      </c>
      <c r="I24" t="s">
        <v>74</v>
      </c>
      <c r="J24">
        <v>4.3636363636363633</v>
      </c>
      <c r="K24" t="s">
        <v>74</v>
      </c>
      <c r="L24">
        <v>4.4545454545454541</v>
      </c>
      <c r="M24" t="s">
        <v>74</v>
      </c>
      <c r="N24">
        <v>3.1818181818181817</v>
      </c>
      <c r="O24" t="s">
        <v>74</v>
      </c>
      <c r="P24">
        <v>2.5454545454545454</v>
      </c>
      <c r="Q24" t="s">
        <v>74</v>
      </c>
      <c r="R24">
        <v>4.3636363636363633</v>
      </c>
      <c r="S24" t="s">
        <v>74</v>
      </c>
      <c r="T24">
        <v>4</v>
      </c>
      <c r="U24" t="s">
        <v>74</v>
      </c>
      <c r="V24">
        <v>3.0909090909090908</v>
      </c>
      <c r="W24" t="s">
        <v>74</v>
      </c>
      <c r="X24">
        <v>3.6363636363636362</v>
      </c>
      <c r="Y24" t="s">
        <v>74</v>
      </c>
      <c r="Z24">
        <v>3.5454545454545454</v>
      </c>
      <c r="AA24" t="s">
        <v>74</v>
      </c>
      <c r="AB24">
        <v>3.6363636363636362</v>
      </c>
      <c r="AC24" t="s">
        <v>74</v>
      </c>
      <c r="AD24">
        <v>2.9090909090909092</v>
      </c>
      <c r="AE24" t="s">
        <v>74</v>
      </c>
      <c r="AF24">
        <v>4.3636363636363633</v>
      </c>
      <c r="AG24" t="s">
        <v>74</v>
      </c>
      <c r="AH24">
        <v>4.7272727272727275</v>
      </c>
      <c r="AI24" t="s">
        <v>74</v>
      </c>
      <c r="AJ24">
        <v>4.3636363636363633</v>
      </c>
    </row>
    <row r="25" spans="1:36" x14ac:dyDescent="0.3">
      <c r="A25" t="s">
        <v>75</v>
      </c>
      <c r="B25">
        <v>0.15212000482437699</v>
      </c>
      <c r="C25" t="s">
        <v>75</v>
      </c>
      <c r="D25">
        <v>0.24729946379518974</v>
      </c>
      <c r="E25" t="s">
        <v>75</v>
      </c>
      <c r="F25">
        <v>0.24393468845452226</v>
      </c>
      <c r="G25" t="s">
        <v>75</v>
      </c>
      <c r="H25">
        <v>0.26347957720344417</v>
      </c>
      <c r="I25" t="s">
        <v>75</v>
      </c>
      <c r="J25">
        <v>0.24393468845452226</v>
      </c>
      <c r="K25" t="s">
        <v>75</v>
      </c>
      <c r="L25">
        <v>0.20730462274529765</v>
      </c>
      <c r="M25" t="s">
        <v>75</v>
      </c>
      <c r="N25">
        <v>0.26347957720344439</v>
      </c>
      <c r="O25" t="s">
        <v>75</v>
      </c>
      <c r="P25">
        <v>0.45454545454545459</v>
      </c>
      <c r="Q25" t="s">
        <v>75</v>
      </c>
      <c r="R25">
        <v>0.24393468845452226</v>
      </c>
      <c r="S25" t="s">
        <v>75</v>
      </c>
      <c r="T25">
        <v>0.33028912953790818</v>
      </c>
      <c r="U25" t="s">
        <v>75</v>
      </c>
      <c r="V25">
        <v>0.43598468393751999</v>
      </c>
      <c r="W25" t="s">
        <v>75</v>
      </c>
      <c r="X25">
        <v>0.2787219948501069</v>
      </c>
      <c r="Y25" t="s">
        <v>75</v>
      </c>
      <c r="Z25">
        <v>0.34015067152490364</v>
      </c>
      <c r="AA25" t="s">
        <v>75</v>
      </c>
      <c r="AB25">
        <v>0.30962520665320714</v>
      </c>
      <c r="AC25" t="s">
        <v>75</v>
      </c>
      <c r="AD25">
        <v>0.43598468393751999</v>
      </c>
      <c r="AE25" t="s">
        <v>75</v>
      </c>
      <c r="AF25">
        <v>0.24393468845452226</v>
      </c>
      <c r="AG25" t="s">
        <v>75</v>
      </c>
      <c r="AH25">
        <v>0.14083575804390608</v>
      </c>
      <c r="AI25" t="s">
        <v>75</v>
      </c>
      <c r="AJ25">
        <v>0.30962520665320714</v>
      </c>
    </row>
    <row r="26" spans="1:36" x14ac:dyDescent="0.3">
      <c r="A26" t="s">
        <v>76</v>
      </c>
      <c r="B26">
        <v>5</v>
      </c>
      <c r="C26" t="s">
        <v>76</v>
      </c>
      <c r="D26">
        <v>5</v>
      </c>
      <c r="E26" t="s">
        <v>76</v>
      </c>
      <c r="F26">
        <v>5</v>
      </c>
      <c r="G26" t="s">
        <v>76</v>
      </c>
      <c r="H26">
        <v>4</v>
      </c>
      <c r="I26" t="s">
        <v>76</v>
      </c>
      <c r="J26">
        <v>5</v>
      </c>
      <c r="K26" t="s">
        <v>76</v>
      </c>
      <c r="L26">
        <v>5</v>
      </c>
      <c r="M26" t="s">
        <v>76</v>
      </c>
      <c r="N26">
        <v>3</v>
      </c>
      <c r="O26" t="s">
        <v>76</v>
      </c>
      <c r="P26">
        <v>2</v>
      </c>
      <c r="Q26" t="s">
        <v>76</v>
      </c>
      <c r="R26">
        <v>5</v>
      </c>
      <c r="S26" t="s">
        <v>76</v>
      </c>
      <c r="T26">
        <v>4</v>
      </c>
      <c r="U26" t="s">
        <v>76</v>
      </c>
      <c r="V26">
        <v>3</v>
      </c>
      <c r="W26" t="s">
        <v>76</v>
      </c>
      <c r="X26">
        <v>4</v>
      </c>
      <c r="Y26" t="s">
        <v>76</v>
      </c>
      <c r="Z26">
        <v>4</v>
      </c>
      <c r="AA26" t="s">
        <v>76</v>
      </c>
      <c r="AB26">
        <v>4</v>
      </c>
      <c r="AC26" t="s">
        <v>76</v>
      </c>
      <c r="AD26">
        <v>3</v>
      </c>
      <c r="AE26" t="s">
        <v>76</v>
      </c>
      <c r="AF26">
        <v>5</v>
      </c>
      <c r="AG26" t="s">
        <v>76</v>
      </c>
      <c r="AH26">
        <v>5</v>
      </c>
      <c r="AI26" t="s">
        <v>76</v>
      </c>
      <c r="AJ26">
        <v>5</v>
      </c>
    </row>
    <row r="27" spans="1:36" x14ac:dyDescent="0.3">
      <c r="A27" t="s">
        <v>77</v>
      </c>
      <c r="B27">
        <v>5</v>
      </c>
      <c r="C27" t="s">
        <v>77</v>
      </c>
      <c r="D27">
        <v>5</v>
      </c>
      <c r="E27" t="s">
        <v>77</v>
      </c>
      <c r="F27">
        <v>5</v>
      </c>
      <c r="G27" t="s">
        <v>77</v>
      </c>
      <c r="H27">
        <v>4</v>
      </c>
      <c r="I27" t="s">
        <v>77</v>
      </c>
      <c r="J27">
        <v>5</v>
      </c>
      <c r="K27" t="s">
        <v>77</v>
      </c>
      <c r="L27">
        <v>5</v>
      </c>
      <c r="M27" t="s">
        <v>77</v>
      </c>
      <c r="N27">
        <v>4</v>
      </c>
      <c r="O27" t="s">
        <v>77</v>
      </c>
      <c r="P27">
        <v>1</v>
      </c>
      <c r="Q27" t="s">
        <v>77</v>
      </c>
      <c r="R27">
        <v>5</v>
      </c>
      <c r="S27" t="s">
        <v>77</v>
      </c>
      <c r="T27">
        <v>4</v>
      </c>
      <c r="U27" t="s">
        <v>77</v>
      </c>
      <c r="V27">
        <v>4</v>
      </c>
      <c r="W27" t="s">
        <v>77</v>
      </c>
      <c r="X27">
        <v>4</v>
      </c>
      <c r="Y27" t="s">
        <v>77</v>
      </c>
      <c r="Z27">
        <v>4</v>
      </c>
      <c r="AA27" t="s">
        <v>77</v>
      </c>
      <c r="AB27">
        <v>4</v>
      </c>
      <c r="AC27" t="s">
        <v>77</v>
      </c>
      <c r="AD27">
        <v>2</v>
      </c>
      <c r="AE27" t="s">
        <v>77</v>
      </c>
      <c r="AF27">
        <v>5</v>
      </c>
      <c r="AG27" t="s">
        <v>77</v>
      </c>
      <c r="AH27">
        <v>5</v>
      </c>
      <c r="AI27" t="s">
        <v>77</v>
      </c>
      <c r="AJ27">
        <v>5</v>
      </c>
    </row>
    <row r="28" spans="1:36" x14ac:dyDescent="0.3">
      <c r="A28" t="s">
        <v>78</v>
      </c>
      <c r="B28">
        <v>0.50452497910951177</v>
      </c>
      <c r="C28" t="s">
        <v>78</v>
      </c>
      <c r="D28">
        <v>0.82019953226472397</v>
      </c>
      <c r="E28" t="s">
        <v>78</v>
      </c>
      <c r="F28">
        <v>0.80903983495588971</v>
      </c>
      <c r="G28" t="s">
        <v>78</v>
      </c>
      <c r="H28">
        <v>0.87386289750530233</v>
      </c>
      <c r="I28" t="s">
        <v>78</v>
      </c>
      <c r="J28">
        <v>0.80903983495588971</v>
      </c>
      <c r="K28" t="s">
        <v>78</v>
      </c>
      <c r="L28">
        <v>0.68755165095232806</v>
      </c>
      <c r="M28" t="s">
        <v>78</v>
      </c>
      <c r="N28">
        <v>0.87386289750530322</v>
      </c>
      <c r="O28" t="s">
        <v>78</v>
      </c>
      <c r="P28">
        <v>1.5075567228888183</v>
      </c>
      <c r="Q28" t="s">
        <v>78</v>
      </c>
      <c r="R28">
        <v>0.80903983495588971</v>
      </c>
      <c r="S28" t="s">
        <v>78</v>
      </c>
      <c r="T28">
        <v>1.0954451150103321</v>
      </c>
      <c r="U28" t="s">
        <v>78</v>
      </c>
      <c r="V28">
        <v>1.4459976109624424</v>
      </c>
      <c r="W28" t="s">
        <v>78</v>
      </c>
      <c r="X28">
        <v>0.92441627773717472</v>
      </c>
      <c r="Y28" t="s">
        <v>78</v>
      </c>
      <c r="Z28">
        <v>1.128152149635532</v>
      </c>
      <c r="AA28" t="s">
        <v>78</v>
      </c>
      <c r="AB28">
        <v>1.0269106361049405</v>
      </c>
      <c r="AC28" t="s">
        <v>78</v>
      </c>
      <c r="AD28">
        <v>1.4459976109624424</v>
      </c>
      <c r="AE28" t="s">
        <v>78</v>
      </c>
      <c r="AF28">
        <v>0.80903983495588971</v>
      </c>
      <c r="AG28" t="s">
        <v>78</v>
      </c>
      <c r="AH28">
        <v>0.4670993664969138</v>
      </c>
      <c r="AI28" t="s">
        <v>78</v>
      </c>
      <c r="AJ28">
        <v>1.0269106361049405</v>
      </c>
    </row>
    <row r="29" spans="1:36" x14ac:dyDescent="0.3">
      <c r="A29" t="s">
        <v>79</v>
      </c>
      <c r="B29">
        <v>0.25454545454545324</v>
      </c>
      <c r="C29" t="s">
        <v>79</v>
      </c>
      <c r="D29">
        <v>0.67272727272727195</v>
      </c>
      <c r="E29" t="s">
        <v>79</v>
      </c>
      <c r="F29">
        <v>0.65454545454545321</v>
      </c>
      <c r="G29" t="s">
        <v>79</v>
      </c>
      <c r="H29">
        <v>0.76363636363636256</v>
      </c>
      <c r="I29" t="s">
        <v>79</v>
      </c>
      <c r="J29">
        <v>0.65454545454545321</v>
      </c>
      <c r="K29" t="s">
        <v>79</v>
      </c>
      <c r="L29">
        <v>0.47272727272727194</v>
      </c>
      <c r="M29" t="s">
        <v>79</v>
      </c>
      <c r="N29">
        <v>0.763636363636364</v>
      </c>
      <c r="O29" t="s">
        <v>79</v>
      </c>
      <c r="P29">
        <v>2.2727272727272734</v>
      </c>
      <c r="Q29" t="s">
        <v>79</v>
      </c>
      <c r="R29">
        <v>0.65454545454545321</v>
      </c>
      <c r="S29" t="s">
        <v>79</v>
      </c>
      <c r="T29">
        <v>1.2</v>
      </c>
      <c r="U29" t="s">
        <v>79</v>
      </c>
      <c r="V29">
        <v>2.0909090909090908</v>
      </c>
      <c r="W29" t="s">
        <v>79</v>
      </c>
      <c r="X29">
        <v>0.85454545454545328</v>
      </c>
      <c r="Y29" t="s">
        <v>79</v>
      </c>
      <c r="Z29">
        <v>1.272727272727272</v>
      </c>
      <c r="AA29" t="s">
        <v>79</v>
      </c>
      <c r="AB29">
        <v>1.0545454545454533</v>
      </c>
      <c r="AC29" t="s">
        <v>79</v>
      </c>
      <c r="AD29">
        <v>2.0909090909090908</v>
      </c>
      <c r="AE29" t="s">
        <v>79</v>
      </c>
      <c r="AF29">
        <v>0.65454545454545321</v>
      </c>
      <c r="AG29" t="s">
        <v>79</v>
      </c>
      <c r="AH29">
        <v>0.2181818181818182</v>
      </c>
      <c r="AI29" t="s">
        <v>79</v>
      </c>
      <c r="AJ29">
        <v>1.0545454545454533</v>
      </c>
    </row>
    <row r="30" spans="1:36" x14ac:dyDescent="0.3">
      <c r="A30" t="s">
        <v>80</v>
      </c>
      <c r="B30">
        <v>-1.9642857142857117</v>
      </c>
      <c r="C30" t="s">
        <v>80</v>
      </c>
      <c r="D30">
        <v>0.62941319698076903</v>
      </c>
      <c r="E30" t="s">
        <v>80</v>
      </c>
      <c r="F30">
        <v>-0.76388888888889106</v>
      </c>
      <c r="G30" t="s">
        <v>80</v>
      </c>
      <c r="H30">
        <v>3.5232426303854876</v>
      </c>
      <c r="I30" t="s">
        <v>80</v>
      </c>
      <c r="J30">
        <v>-0.76388888888888928</v>
      </c>
      <c r="K30" t="s">
        <v>80</v>
      </c>
      <c r="L30">
        <v>8.1360946745556717E-2</v>
      </c>
      <c r="M30" t="s">
        <v>80</v>
      </c>
      <c r="N30">
        <v>-1.6213151927437637</v>
      </c>
      <c r="O30" t="s">
        <v>80</v>
      </c>
      <c r="P30">
        <v>-1.5840000000000014</v>
      </c>
      <c r="Q30" t="s">
        <v>80</v>
      </c>
      <c r="R30">
        <v>-0.76388888888889062</v>
      </c>
      <c r="S30" t="s">
        <v>80</v>
      </c>
      <c r="T30">
        <v>0.41666666666666607</v>
      </c>
      <c r="U30" t="s">
        <v>80</v>
      </c>
      <c r="V30">
        <v>-1.2448645242596093</v>
      </c>
      <c r="W30" t="s">
        <v>80</v>
      </c>
      <c r="X30">
        <v>-0.44816659121774505</v>
      </c>
      <c r="Y30" t="s">
        <v>80</v>
      </c>
      <c r="Z30">
        <v>-1.1823129251700695</v>
      </c>
      <c r="AA30" t="s">
        <v>80</v>
      </c>
      <c r="AB30">
        <v>-0.59403487911216812</v>
      </c>
      <c r="AC30" t="s">
        <v>80</v>
      </c>
      <c r="AD30">
        <v>-1.2448645242596088</v>
      </c>
      <c r="AE30" t="s">
        <v>80</v>
      </c>
      <c r="AF30">
        <v>-0.76388888888889106</v>
      </c>
      <c r="AG30" t="s">
        <v>80</v>
      </c>
      <c r="AH30">
        <v>-0.76388888888888706</v>
      </c>
      <c r="AI30" t="s">
        <v>80</v>
      </c>
      <c r="AJ30">
        <v>1.7439556084026915</v>
      </c>
    </row>
    <row r="31" spans="1:36" x14ac:dyDescent="0.3">
      <c r="A31" t="s">
        <v>81</v>
      </c>
      <c r="B31">
        <v>-0.66068747264341199</v>
      </c>
      <c r="C31" t="s">
        <v>81</v>
      </c>
      <c r="D31">
        <v>-1.5047975348465319</v>
      </c>
      <c r="E31" t="s">
        <v>81</v>
      </c>
      <c r="F31">
        <v>-0.84691155562512044</v>
      </c>
      <c r="G31" t="s">
        <v>81</v>
      </c>
      <c r="H31">
        <v>-1.507628165953026</v>
      </c>
      <c r="I31" t="s">
        <v>81</v>
      </c>
      <c r="J31">
        <v>-0.84691155562512088</v>
      </c>
      <c r="K31" t="s">
        <v>81</v>
      </c>
      <c r="L31">
        <v>-0.93233088763259298</v>
      </c>
      <c r="M31" t="s">
        <v>81</v>
      </c>
      <c r="N31">
        <v>-0.40869438233666344</v>
      </c>
      <c r="O31" t="s">
        <v>81</v>
      </c>
      <c r="P31">
        <v>0.32193371298383106</v>
      </c>
      <c r="Q31" t="s">
        <v>81</v>
      </c>
      <c r="R31">
        <v>-0.84691155562512099</v>
      </c>
      <c r="S31" t="s">
        <v>81</v>
      </c>
      <c r="T31">
        <v>-1.1157311356586719</v>
      </c>
      <c r="U31" t="s">
        <v>81</v>
      </c>
      <c r="V31">
        <v>-0.19043068726600507</v>
      </c>
      <c r="W31" t="s">
        <v>81</v>
      </c>
      <c r="X31">
        <v>-2.3016249558869894E-2</v>
      </c>
      <c r="Y31" t="s">
        <v>81</v>
      </c>
      <c r="Z31">
        <v>-0.39255090104664947</v>
      </c>
      <c r="AA31" t="s">
        <v>81</v>
      </c>
      <c r="AB31">
        <v>-0.44772164079089749</v>
      </c>
      <c r="AC31" t="s">
        <v>81</v>
      </c>
      <c r="AD31">
        <v>0.19043068726600504</v>
      </c>
      <c r="AE31" t="s">
        <v>81</v>
      </c>
      <c r="AF31">
        <v>-0.84691155562512044</v>
      </c>
      <c r="AG31" t="s">
        <v>81</v>
      </c>
      <c r="AH31">
        <v>-1.1893733869134397</v>
      </c>
      <c r="AI31" t="s">
        <v>81</v>
      </c>
      <c r="AJ31">
        <v>-1.5838153042977994</v>
      </c>
    </row>
    <row r="32" spans="1:36" x14ac:dyDescent="0.3">
      <c r="A32" t="s">
        <v>82</v>
      </c>
      <c r="B32">
        <v>1</v>
      </c>
      <c r="C32" t="s">
        <v>82</v>
      </c>
      <c r="D32">
        <v>2</v>
      </c>
      <c r="E32" t="s">
        <v>82</v>
      </c>
      <c r="F32">
        <v>2</v>
      </c>
      <c r="G32" t="s">
        <v>82</v>
      </c>
      <c r="H32">
        <v>3</v>
      </c>
      <c r="I32" t="s">
        <v>82</v>
      </c>
      <c r="J32">
        <v>2</v>
      </c>
      <c r="K32" t="s">
        <v>82</v>
      </c>
      <c r="L32">
        <v>2</v>
      </c>
      <c r="M32" t="s">
        <v>82</v>
      </c>
      <c r="N32">
        <v>2</v>
      </c>
      <c r="O32" t="s">
        <v>82</v>
      </c>
      <c r="P32">
        <v>4</v>
      </c>
      <c r="Q32" t="s">
        <v>82</v>
      </c>
      <c r="R32">
        <v>2</v>
      </c>
      <c r="S32" t="s">
        <v>82</v>
      </c>
      <c r="T32">
        <v>3</v>
      </c>
      <c r="U32" t="s">
        <v>82</v>
      </c>
      <c r="V32">
        <v>4</v>
      </c>
      <c r="W32" t="s">
        <v>82</v>
      </c>
      <c r="X32">
        <v>3</v>
      </c>
      <c r="Y32" t="s">
        <v>82</v>
      </c>
      <c r="Z32">
        <v>3</v>
      </c>
      <c r="AA32" t="s">
        <v>82</v>
      </c>
      <c r="AB32">
        <v>3</v>
      </c>
      <c r="AC32" t="s">
        <v>82</v>
      </c>
      <c r="AD32">
        <v>4</v>
      </c>
      <c r="AE32" t="s">
        <v>82</v>
      </c>
      <c r="AF32">
        <v>2</v>
      </c>
      <c r="AG32" t="s">
        <v>82</v>
      </c>
      <c r="AH32">
        <v>1</v>
      </c>
      <c r="AI32" t="s">
        <v>82</v>
      </c>
      <c r="AJ32">
        <v>3</v>
      </c>
    </row>
    <row r="33" spans="1:36" x14ac:dyDescent="0.3">
      <c r="A33" t="s">
        <v>83</v>
      </c>
      <c r="B33">
        <v>4</v>
      </c>
      <c r="C33" t="s">
        <v>83</v>
      </c>
      <c r="D33">
        <v>3</v>
      </c>
      <c r="E33" t="s">
        <v>83</v>
      </c>
      <c r="F33">
        <v>3</v>
      </c>
      <c r="G33" t="s">
        <v>83</v>
      </c>
      <c r="H33">
        <v>2</v>
      </c>
      <c r="I33" t="s">
        <v>83</v>
      </c>
      <c r="J33">
        <v>3</v>
      </c>
      <c r="K33" t="s">
        <v>83</v>
      </c>
      <c r="L33">
        <v>3</v>
      </c>
      <c r="M33" t="s">
        <v>83</v>
      </c>
      <c r="N33">
        <v>2</v>
      </c>
      <c r="O33" t="s">
        <v>83</v>
      </c>
      <c r="P33">
        <v>1</v>
      </c>
      <c r="Q33" t="s">
        <v>83</v>
      </c>
      <c r="R33">
        <v>3</v>
      </c>
      <c r="S33" t="s">
        <v>83</v>
      </c>
      <c r="T33">
        <v>2</v>
      </c>
      <c r="U33" t="s">
        <v>83</v>
      </c>
      <c r="V33">
        <v>1</v>
      </c>
      <c r="W33" t="s">
        <v>83</v>
      </c>
      <c r="X33">
        <v>2</v>
      </c>
      <c r="Y33" t="s">
        <v>83</v>
      </c>
      <c r="Z33">
        <v>2</v>
      </c>
      <c r="AA33" t="s">
        <v>83</v>
      </c>
      <c r="AB33">
        <v>2</v>
      </c>
      <c r="AC33" t="s">
        <v>83</v>
      </c>
      <c r="AD33">
        <v>1</v>
      </c>
      <c r="AE33" t="s">
        <v>83</v>
      </c>
      <c r="AF33">
        <v>3</v>
      </c>
      <c r="AG33" t="s">
        <v>83</v>
      </c>
      <c r="AH33">
        <v>4</v>
      </c>
      <c r="AI33" t="s">
        <v>83</v>
      </c>
      <c r="AJ33">
        <v>2</v>
      </c>
    </row>
    <row r="34" spans="1:36" x14ac:dyDescent="0.3">
      <c r="A34" t="s">
        <v>84</v>
      </c>
      <c r="B34">
        <v>5</v>
      </c>
      <c r="C34" t="s">
        <v>84</v>
      </c>
      <c r="D34">
        <v>5</v>
      </c>
      <c r="E34" t="s">
        <v>84</v>
      </c>
      <c r="F34">
        <v>5</v>
      </c>
      <c r="G34" t="s">
        <v>84</v>
      </c>
      <c r="H34">
        <v>5</v>
      </c>
      <c r="I34" t="s">
        <v>84</v>
      </c>
      <c r="J34">
        <v>5</v>
      </c>
      <c r="K34" t="s">
        <v>84</v>
      </c>
      <c r="L34">
        <v>5</v>
      </c>
      <c r="M34" t="s">
        <v>84</v>
      </c>
      <c r="N34">
        <v>4</v>
      </c>
      <c r="O34" t="s">
        <v>84</v>
      </c>
      <c r="P34">
        <v>5</v>
      </c>
      <c r="Q34" t="s">
        <v>84</v>
      </c>
      <c r="R34">
        <v>5</v>
      </c>
      <c r="S34" t="s">
        <v>84</v>
      </c>
      <c r="T34">
        <v>5</v>
      </c>
      <c r="U34" t="s">
        <v>84</v>
      </c>
      <c r="V34">
        <v>5</v>
      </c>
      <c r="W34" t="s">
        <v>84</v>
      </c>
      <c r="X34">
        <v>5</v>
      </c>
      <c r="Y34" t="s">
        <v>84</v>
      </c>
      <c r="Z34">
        <v>5</v>
      </c>
      <c r="AA34" t="s">
        <v>84</v>
      </c>
      <c r="AB34">
        <v>5</v>
      </c>
      <c r="AC34" t="s">
        <v>84</v>
      </c>
      <c r="AD34">
        <v>5</v>
      </c>
      <c r="AE34" t="s">
        <v>84</v>
      </c>
      <c r="AF34">
        <v>5</v>
      </c>
      <c r="AG34" t="s">
        <v>84</v>
      </c>
      <c r="AH34">
        <v>5</v>
      </c>
      <c r="AI34" t="s">
        <v>84</v>
      </c>
      <c r="AJ34">
        <v>5</v>
      </c>
    </row>
    <row r="35" spans="1:36" x14ac:dyDescent="0.3">
      <c r="A35" t="s">
        <v>85</v>
      </c>
      <c r="B35">
        <v>51</v>
      </c>
      <c r="C35" t="s">
        <v>85</v>
      </c>
      <c r="D35">
        <v>50</v>
      </c>
      <c r="E35" t="s">
        <v>85</v>
      </c>
      <c r="F35">
        <v>48</v>
      </c>
      <c r="G35" t="s">
        <v>85</v>
      </c>
      <c r="H35">
        <v>46</v>
      </c>
      <c r="I35" t="s">
        <v>85</v>
      </c>
      <c r="J35">
        <v>48</v>
      </c>
      <c r="K35" t="s">
        <v>85</v>
      </c>
      <c r="L35">
        <v>49</v>
      </c>
      <c r="M35" t="s">
        <v>85</v>
      </c>
      <c r="N35">
        <v>35</v>
      </c>
      <c r="O35" t="s">
        <v>85</v>
      </c>
      <c r="P35">
        <v>28</v>
      </c>
      <c r="Q35" t="s">
        <v>85</v>
      </c>
      <c r="R35">
        <v>48</v>
      </c>
      <c r="S35" t="s">
        <v>85</v>
      </c>
      <c r="T35">
        <v>44</v>
      </c>
      <c r="U35" t="s">
        <v>85</v>
      </c>
      <c r="V35">
        <v>34</v>
      </c>
      <c r="W35" t="s">
        <v>85</v>
      </c>
      <c r="X35">
        <v>40</v>
      </c>
      <c r="Y35" t="s">
        <v>85</v>
      </c>
      <c r="Z35">
        <v>39</v>
      </c>
      <c r="AA35" t="s">
        <v>85</v>
      </c>
      <c r="AB35">
        <v>40</v>
      </c>
      <c r="AC35" t="s">
        <v>85</v>
      </c>
      <c r="AD35">
        <v>32</v>
      </c>
      <c r="AE35" t="s">
        <v>85</v>
      </c>
      <c r="AF35">
        <v>48</v>
      </c>
      <c r="AG35" t="s">
        <v>85</v>
      </c>
      <c r="AH35">
        <v>52</v>
      </c>
      <c r="AI35" t="s">
        <v>85</v>
      </c>
      <c r="AJ35">
        <v>48</v>
      </c>
    </row>
    <row r="36" spans="1:36" ht="15" thickBot="1" x14ac:dyDescent="0.35">
      <c r="A36" s="3" t="s">
        <v>86</v>
      </c>
      <c r="B36" s="3">
        <v>11</v>
      </c>
      <c r="C36" s="3" t="s">
        <v>86</v>
      </c>
      <c r="D36" s="3">
        <v>11</v>
      </c>
      <c r="E36" s="3" t="s">
        <v>86</v>
      </c>
      <c r="F36" s="3">
        <v>11</v>
      </c>
      <c r="G36" s="3" t="s">
        <v>86</v>
      </c>
      <c r="H36" s="3">
        <v>11</v>
      </c>
      <c r="I36" s="3" t="s">
        <v>86</v>
      </c>
      <c r="J36" s="3">
        <v>11</v>
      </c>
      <c r="K36" s="3" t="s">
        <v>86</v>
      </c>
      <c r="L36" s="3">
        <v>11</v>
      </c>
      <c r="M36" s="3" t="s">
        <v>86</v>
      </c>
      <c r="N36" s="3">
        <v>11</v>
      </c>
      <c r="O36" s="3" t="s">
        <v>86</v>
      </c>
      <c r="P36" s="3">
        <v>11</v>
      </c>
      <c r="Q36" s="3" t="s">
        <v>86</v>
      </c>
      <c r="R36" s="3">
        <v>11</v>
      </c>
      <c r="S36" s="3" t="s">
        <v>86</v>
      </c>
      <c r="T36" s="3">
        <v>11</v>
      </c>
      <c r="U36" s="3" t="s">
        <v>86</v>
      </c>
      <c r="V36" s="3">
        <v>11</v>
      </c>
      <c r="W36" s="3" t="s">
        <v>86</v>
      </c>
      <c r="X36" s="3">
        <v>11</v>
      </c>
      <c r="Y36" s="3" t="s">
        <v>86</v>
      </c>
      <c r="Z36" s="3">
        <v>11</v>
      </c>
      <c r="AA36" s="3" t="s">
        <v>86</v>
      </c>
      <c r="AB36" s="3">
        <v>11</v>
      </c>
      <c r="AC36" s="3" t="s">
        <v>86</v>
      </c>
      <c r="AD36" s="3">
        <v>11</v>
      </c>
      <c r="AE36" s="3" t="s">
        <v>86</v>
      </c>
      <c r="AF36" s="3">
        <v>11</v>
      </c>
      <c r="AG36" s="3" t="s">
        <v>86</v>
      </c>
      <c r="AH36" s="3">
        <v>11</v>
      </c>
      <c r="AI36" s="3" t="s">
        <v>86</v>
      </c>
      <c r="AJ36" s="3">
        <v>11</v>
      </c>
    </row>
    <row r="39" spans="1:36" ht="29.4" thickBot="1" x14ac:dyDescent="0.6">
      <c r="A39" s="27" t="s">
        <v>89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  <row r="40" spans="1:36" s="6" customFormat="1" ht="73.2" customHeight="1" x14ac:dyDescent="0.3">
      <c r="A40" s="5" t="s">
        <v>5</v>
      </c>
      <c r="B40" s="5"/>
      <c r="C40" s="5" t="s">
        <v>6</v>
      </c>
      <c r="D40" s="5"/>
      <c r="E40" s="5" t="s">
        <v>8</v>
      </c>
      <c r="F40" s="5"/>
      <c r="G40" s="5" t="s">
        <v>9</v>
      </c>
      <c r="H40" s="5"/>
      <c r="I40" s="5" t="s">
        <v>10</v>
      </c>
      <c r="J40" s="5"/>
      <c r="K40" s="5" t="s">
        <v>11</v>
      </c>
      <c r="L40" s="5"/>
      <c r="M40" s="5" t="s">
        <v>12</v>
      </c>
      <c r="N40" s="5"/>
      <c r="O40" s="5" t="s">
        <v>13</v>
      </c>
      <c r="P40" s="5"/>
      <c r="Q40" s="5" t="s">
        <v>14</v>
      </c>
      <c r="R40" s="5"/>
      <c r="S40" s="5" t="s">
        <v>15</v>
      </c>
      <c r="T40" s="5"/>
      <c r="U40" s="5" t="s">
        <v>16</v>
      </c>
      <c r="V40" s="5"/>
      <c r="W40" s="5" t="s">
        <v>17</v>
      </c>
      <c r="X40" s="5"/>
      <c r="Y40" s="5" t="s">
        <v>18</v>
      </c>
      <c r="Z40" s="5"/>
      <c r="AA40" s="5" t="s">
        <v>19</v>
      </c>
      <c r="AB40" s="5"/>
      <c r="AC40" s="5" t="s">
        <v>20</v>
      </c>
      <c r="AD40" s="5"/>
      <c r="AE40" s="5" t="s">
        <v>21</v>
      </c>
      <c r="AF40" s="5"/>
      <c r="AG40" s="5" t="s">
        <v>22</v>
      </c>
      <c r="AH40" s="5"/>
      <c r="AI40" s="5" t="s">
        <v>23</v>
      </c>
      <c r="AJ40" s="5"/>
    </row>
    <row r="42" spans="1:36" x14ac:dyDescent="0.3">
      <c r="A42" t="s">
        <v>74</v>
      </c>
      <c r="B42">
        <v>4.0370370370370372</v>
      </c>
      <c r="C42" t="s">
        <v>74</v>
      </c>
      <c r="D42">
        <v>3.8148148148148149</v>
      </c>
      <c r="E42" t="s">
        <v>74</v>
      </c>
      <c r="F42">
        <v>3.7407407407407409</v>
      </c>
      <c r="G42" t="s">
        <v>74</v>
      </c>
      <c r="H42">
        <v>3.4074074074074074</v>
      </c>
      <c r="I42" t="s">
        <v>74</v>
      </c>
      <c r="J42">
        <v>3.7037037037037037</v>
      </c>
      <c r="K42" t="s">
        <v>74</v>
      </c>
      <c r="L42">
        <v>4.2592592592592595</v>
      </c>
      <c r="M42" t="s">
        <v>74</v>
      </c>
      <c r="N42">
        <v>3.5555555555555554</v>
      </c>
      <c r="O42" t="s">
        <v>74</v>
      </c>
      <c r="P42">
        <v>3.4074074074074074</v>
      </c>
      <c r="Q42" t="s">
        <v>74</v>
      </c>
      <c r="R42">
        <v>3.8888888888888888</v>
      </c>
      <c r="S42" t="s">
        <v>74</v>
      </c>
      <c r="T42">
        <v>3.3333333333333335</v>
      </c>
      <c r="U42" t="s">
        <v>74</v>
      </c>
      <c r="V42">
        <v>3.4074074074074074</v>
      </c>
      <c r="W42" t="s">
        <v>74</v>
      </c>
      <c r="X42">
        <v>3.5185185185185186</v>
      </c>
      <c r="Y42" t="s">
        <v>74</v>
      </c>
      <c r="Z42">
        <v>2.925925925925926</v>
      </c>
      <c r="AA42" t="s">
        <v>74</v>
      </c>
      <c r="AB42">
        <v>3.2962962962962963</v>
      </c>
      <c r="AC42" t="s">
        <v>74</v>
      </c>
      <c r="AD42">
        <v>3.8148148148148149</v>
      </c>
      <c r="AE42" t="s">
        <v>74</v>
      </c>
      <c r="AF42">
        <v>3.6296296296296298</v>
      </c>
      <c r="AG42" t="s">
        <v>74</v>
      </c>
      <c r="AH42">
        <v>4.3703703703703702</v>
      </c>
      <c r="AI42" t="s">
        <v>74</v>
      </c>
      <c r="AJ42">
        <v>4.1851851851851851</v>
      </c>
    </row>
    <row r="43" spans="1:36" x14ac:dyDescent="0.3">
      <c r="A43" t="s">
        <v>75</v>
      </c>
      <c r="B43">
        <v>0.24156117049836437</v>
      </c>
      <c r="C43" t="s">
        <v>75</v>
      </c>
      <c r="D43">
        <v>0.23288746800781543</v>
      </c>
      <c r="E43" t="s">
        <v>75</v>
      </c>
      <c r="F43">
        <v>0.21742204020899039</v>
      </c>
      <c r="G43" t="s">
        <v>75</v>
      </c>
      <c r="H43">
        <v>0.20155562570739599</v>
      </c>
      <c r="I43" t="s">
        <v>75</v>
      </c>
      <c r="J43">
        <v>0.22528750112215623</v>
      </c>
      <c r="K43" t="s">
        <v>75</v>
      </c>
      <c r="L43">
        <v>0.18941048590991058</v>
      </c>
      <c r="M43" t="s">
        <v>75</v>
      </c>
      <c r="N43">
        <v>0.22222222222222229</v>
      </c>
      <c r="O43" t="s">
        <v>75</v>
      </c>
      <c r="P43">
        <v>0.22808042802991951</v>
      </c>
      <c r="Q43" t="s">
        <v>75</v>
      </c>
      <c r="R43">
        <v>0.22222222222222229</v>
      </c>
      <c r="S43" t="s">
        <v>75</v>
      </c>
      <c r="T43">
        <v>0.25035587206627025</v>
      </c>
      <c r="U43" t="s">
        <v>75</v>
      </c>
      <c r="V43">
        <v>0.23424278964210221</v>
      </c>
      <c r="W43" t="s">
        <v>75</v>
      </c>
      <c r="X43">
        <v>0.21596118129056671</v>
      </c>
      <c r="Y43" t="s">
        <v>75</v>
      </c>
      <c r="Z43">
        <v>0.22598896883250072</v>
      </c>
      <c r="AA43" t="s">
        <v>75</v>
      </c>
      <c r="AB43">
        <v>0.24351892474482162</v>
      </c>
      <c r="AC43" t="s">
        <v>75</v>
      </c>
      <c r="AD43">
        <v>0.19997889516165707</v>
      </c>
      <c r="AE43" t="s">
        <v>75</v>
      </c>
      <c r="AF43">
        <v>0.22738541241293353</v>
      </c>
      <c r="AG43" t="s">
        <v>75</v>
      </c>
      <c r="AH43">
        <v>0.22738541241293353</v>
      </c>
      <c r="AI43" t="s">
        <v>75</v>
      </c>
      <c r="AJ43">
        <v>0.23288746800781543</v>
      </c>
    </row>
    <row r="44" spans="1:36" x14ac:dyDescent="0.3">
      <c r="A44" t="s">
        <v>76</v>
      </c>
      <c r="B44">
        <v>4</v>
      </c>
      <c r="C44" t="s">
        <v>76</v>
      </c>
      <c r="D44">
        <v>4</v>
      </c>
      <c r="E44" t="s">
        <v>76</v>
      </c>
      <c r="F44">
        <v>4</v>
      </c>
      <c r="G44" t="s">
        <v>76</v>
      </c>
      <c r="H44">
        <v>4</v>
      </c>
      <c r="I44" t="s">
        <v>76</v>
      </c>
      <c r="J44">
        <v>4</v>
      </c>
      <c r="K44" t="s">
        <v>76</v>
      </c>
      <c r="L44">
        <v>4</v>
      </c>
      <c r="M44" t="s">
        <v>76</v>
      </c>
      <c r="N44">
        <v>4</v>
      </c>
      <c r="O44" t="s">
        <v>76</v>
      </c>
      <c r="P44">
        <v>4</v>
      </c>
      <c r="Q44" t="s">
        <v>76</v>
      </c>
      <c r="R44">
        <v>4</v>
      </c>
      <c r="S44" t="s">
        <v>76</v>
      </c>
      <c r="T44">
        <v>3</v>
      </c>
      <c r="U44" t="s">
        <v>76</v>
      </c>
      <c r="V44">
        <v>4</v>
      </c>
      <c r="W44" t="s">
        <v>76</v>
      </c>
      <c r="X44">
        <v>4</v>
      </c>
      <c r="Y44" t="s">
        <v>76</v>
      </c>
      <c r="Z44">
        <v>3</v>
      </c>
      <c r="AA44" t="s">
        <v>76</v>
      </c>
      <c r="AB44">
        <v>4</v>
      </c>
      <c r="AC44" t="s">
        <v>76</v>
      </c>
      <c r="AD44">
        <v>4</v>
      </c>
      <c r="AE44" t="s">
        <v>76</v>
      </c>
      <c r="AF44">
        <v>4</v>
      </c>
      <c r="AG44" t="s">
        <v>76</v>
      </c>
      <c r="AH44">
        <v>5</v>
      </c>
      <c r="AI44" t="s">
        <v>76</v>
      </c>
      <c r="AJ44">
        <v>5</v>
      </c>
    </row>
    <row r="45" spans="1:36" x14ac:dyDescent="0.3">
      <c r="A45" t="s">
        <v>77</v>
      </c>
      <c r="B45">
        <v>5</v>
      </c>
      <c r="C45" t="s">
        <v>77</v>
      </c>
      <c r="D45">
        <v>4</v>
      </c>
      <c r="E45" t="s">
        <v>77</v>
      </c>
      <c r="F45">
        <v>4</v>
      </c>
      <c r="G45" t="s">
        <v>77</v>
      </c>
      <c r="H45">
        <v>4</v>
      </c>
      <c r="I45" t="s">
        <v>77</v>
      </c>
      <c r="J45">
        <v>4</v>
      </c>
      <c r="K45" t="s">
        <v>77</v>
      </c>
      <c r="L45">
        <v>5</v>
      </c>
      <c r="M45" t="s">
        <v>77</v>
      </c>
      <c r="N45">
        <v>4</v>
      </c>
      <c r="O45" t="s">
        <v>77</v>
      </c>
      <c r="P45">
        <v>4</v>
      </c>
      <c r="Q45" t="s">
        <v>77</v>
      </c>
      <c r="R45">
        <v>5</v>
      </c>
      <c r="S45" t="s">
        <v>77</v>
      </c>
      <c r="T45">
        <v>2</v>
      </c>
      <c r="U45" t="s">
        <v>77</v>
      </c>
      <c r="V45">
        <v>4</v>
      </c>
      <c r="W45" t="s">
        <v>77</v>
      </c>
      <c r="X45">
        <v>4</v>
      </c>
      <c r="Y45" t="s">
        <v>77</v>
      </c>
      <c r="Z45">
        <v>4</v>
      </c>
      <c r="AA45" t="s">
        <v>77</v>
      </c>
      <c r="AB45">
        <v>4</v>
      </c>
      <c r="AC45" t="s">
        <v>77</v>
      </c>
      <c r="AD45">
        <v>4</v>
      </c>
      <c r="AE45" t="s">
        <v>77</v>
      </c>
      <c r="AF45">
        <v>5</v>
      </c>
      <c r="AG45" t="s">
        <v>77</v>
      </c>
      <c r="AH45">
        <v>5</v>
      </c>
      <c r="AI45" t="s">
        <v>77</v>
      </c>
      <c r="AJ45">
        <v>5</v>
      </c>
    </row>
    <row r="46" spans="1:36" x14ac:dyDescent="0.3">
      <c r="A46" t="s">
        <v>78</v>
      </c>
      <c r="B46">
        <v>1.2551886613169259</v>
      </c>
      <c r="C46" t="s">
        <v>78</v>
      </c>
      <c r="D46">
        <v>1.2101187811068235</v>
      </c>
      <c r="E46" t="s">
        <v>78</v>
      </c>
      <c r="F46">
        <v>1.1297580609817641</v>
      </c>
      <c r="G46" t="s">
        <v>78</v>
      </c>
      <c r="H46">
        <v>1.0473137528296368</v>
      </c>
      <c r="I46" t="s">
        <v>78</v>
      </c>
      <c r="J46">
        <v>1.1706281947614152</v>
      </c>
      <c r="K46" t="s">
        <v>78</v>
      </c>
      <c r="L46">
        <v>0.98420575524682219</v>
      </c>
      <c r="M46" t="s">
        <v>78</v>
      </c>
      <c r="N46">
        <v>1.1547005383792519</v>
      </c>
      <c r="O46" t="s">
        <v>78</v>
      </c>
      <c r="P46">
        <v>1.185140668679632</v>
      </c>
      <c r="Q46" t="s">
        <v>78</v>
      </c>
      <c r="R46">
        <v>1.1547005383792519</v>
      </c>
      <c r="S46" t="s">
        <v>78</v>
      </c>
      <c r="T46">
        <v>1.3008872711759818</v>
      </c>
      <c r="U46" t="s">
        <v>78</v>
      </c>
      <c r="V46">
        <v>1.2171612389003694</v>
      </c>
      <c r="W46" t="s">
        <v>78</v>
      </c>
      <c r="X46">
        <v>1.1221672153735645</v>
      </c>
      <c r="Y46" t="s">
        <v>78</v>
      </c>
      <c r="Z46">
        <v>1.1742731279039722</v>
      </c>
      <c r="AA46" t="s">
        <v>78</v>
      </c>
      <c r="AB46">
        <v>1.2653614507877189</v>
      </c>
      <c r="AC46" t="s">
        <v>78</v>
      </c>
      <c r="AD46">
        <v>1.03912082058444</v>
      </c>
      <c r="AE46" t="s">
        <v>78</v>
      </c>
      <c r="AF46">
        <v>1.1815292615976112</v>
      </c>
      <c r="AG46" t="s">
        <v>78</v>
      </c>
      <c r="AH46">
        <v>1.1815292615976112</v>
      </c>
      <c r="AI46" t="s">
        <v>78</v>
      </c>
      <c r="AJ46">
        <v>1.2101187811068235</v>
      </c>
    </row>
    <row r="47" spans="1:36" x14ac:dyDescent="0.3">
      <c r="A47" t="s">
        <v>79</v>
      </c>
      <c r="B47">
        <v>1.5754985754985766</v>
      </c>
      <c r="C47" t="s">
        <v>79</v>
      </c>
      <c r="D47">
        <v>1.4643874643874644</v>
      </c>
      <c r="E47" t="s">
        <v>79</v>
      </c>
      <c r="F47">
        <v>1.2763532763532754</v>
      </c>
      <c r="G47" t="s">
        <v>79</v>
      </c>
      <c r="H47">
        <v>1.0968660968660975</v>
      </c>
      <c r="I47" t="s">
        <v>79</v>
      </c>
      <c r="J47">
        <v>1.37037037037037</v>
      </c>
      <c r="K47" t="s">
        <v>79</v>
      </c>
      <c r="L47">
        <v>0.96866096866096774</v>
      </c>
      <c r="M47" t="s">
        <v>79</v>
      </c>
      <c r="N47">
        <v>1.3333333333333341</v>
      </c>
      <c r="O47" t="s">
        <v>79</v>
      </c>
      <c r="P47">
        <v>1.4045584045584052</v>
      </c>
      <c r="Q47" t="s">
        <v>79</v>
      </c>
      <c r="R47">
        <v>1.3333333333333341</v>
      </c>
      <c r="S47" t="s">
        <v>79</v>
      </c>
      <c r="T47">
        <v>1.6923076923076923</v>
      </c>
      <c r="U47" t="s">
        <v>79</v>
      </c>
      <c r="V47">
        <v>1.4814814814814821</v>
      </c>
      <c r="W47" t="s">
        <v>79</v>
      </c>
      <c r="X47">
        <v>1.25925925925926</v>
      </c>
      <c r="Y47" t="s">
        <v>79</v>
      </c>
      <c r="Z47">
        <v>1.3789173789173788</v>
      </c>
      <c r="AA47" t="s">
        <v>79</v>
      </c>
      <c r="AB47">
        <v>1.6011396011396006</v>
      </c>
      <c r="AC47" t="s">
        <v>79</v>
      </c>
      <c r="AD47">
        <v>1.0797720797720798</v>
      </c>
      <c r="AE47" t="s">
        <v>79</v>
      </c>
      <c r="AF47">
        <v>1.3960113960113962</v>
      </c>
      <c r="AG47" t="s">
        <v>79</v>
      </c>
      <c r="AH47">
        <v>1.3960113960113962</v>
      </c>
      <c r="AI47" t="s">
        <v>79</v>
      </c>
      <c r="AJ47">
        <v>1.4643874643874644</v>
      </c>
    </row>
    <row r="48" spans="1:36" x14ac:dyDescent="0.3">
      <c r="A48" t="s">
        <v>80</v>
      </c>
      <c r="B48">
        <v>1.8495250303293913</v>
      </c>
      <c r="C48" t="s">
        <v>80</v>
      </c>
      <c r="D48">
        <v>0.38905524686217685</v>
      </c>
      <c r="E48" t="s">
        <v>80</v>
      </c>
      <c r="F48">
        <v>1.0008984375000063</v>
      </c>
      <c r="G48" t="s">
        <v>80</v>
      </c>
      <c r="H48">
        <v>0.39451239669421145</v>
      </c>
      <c r="I48" t="s">
        <v>80</v>
      </c>
      <c r="J48">
        <v>0.48286565151430239</v>
      </c>
      <c r="K48" t="s">
        <v>80</v>
      </c>
      <c r="L48">
        <v>4.1283186851210996</v>
      </c>
      <c r="M48" t="s">
        <v>80</v>
      </c>
      <c r="N48">
        <v>7.9615384615384421E-2</v>
      </c>
      <c r="O48" t="s">
        <v>80</v>
      </c>
      <c r="P48">
        <v>-0.57667927043518263</v>
      </c>
      <c r="Q48" t="s">
        <v>80</v>
      </c>
      <c r="R48">
        <v>-1.1198076923076927</v>
      </c>
      <c r="S48" t="s">
        <v>80</v>
      </c>
      <c r="T48">
        <v>-1.4622314049586778</v>
      </c>
      <c r="U48" t="s">
        <v>80</v>
      </c>
      <c r="V48">
        <v>-1.2038884615384617</v>
      </c>
      <c r="W48" t="s">
        <v>80</v>
      </c>
      <c r="X48">
        <v>-0.55918818206015475</v>
      </c>
      <c r="Y48" t="s">
        <v>80</v>
      </c>
      <c r="Z48">
        <v>-0.96350590806638881</v>
      </c>
      <c r="AA48" t="s">
        <v>80</v>
      </c>
      <c r="AB48">
        <v>-1.1165534884309984</v>
      </c>
      <c r="AC48" t="s">
        <v>80</v>
      </c>
      <c r="AD48">
        <v>0.79739294491128376</v>
      </c>
      <c r="AE48" t="s">
        <v>80</v>
      </c>
      <c r="AF48">
        <v>-0.75725947521866166</v>
      </c>
      <c r="AG48" t="s">
        <v>80</v>
      </c>
      <c r="AH48">
        <v>3.8955883381924075</v>
      </c>
      <c r="AI48" t="s">
        <v>80</v>
      </c>
      <c r="AJ48">
        <v>0.74059198473860555</v>
      </c>
    </row>
    <row r="49" spans="1:36" x14ac:dyDescent="0.3">
      <c r="A49" t="s">
        <v>81</v>
      </c>
      <c r="B49">
        <v>-1.5869893732292253</v>
      </c>
      <c r="C49" t="s">
        <v>81</v>
      </c>
      <c r="D49">
        <v>-1.0237924782089727</v>
      </c>
      <c r="E49" t="s">
        <v>81</v>
      </c>
      <c r="F49">
        <v>-1.1729755398045019</v>
      </c>
      <c r="G49" t="s">
        <v>81</v>
      </c>
      <c r="H49">
        <v>-0.92863425687262402</v>
      </c>
      <c r="I49" t="s">
        <v>81</v>
      </c>
      <c r="J49">
        <v>-1.0778725025029032</v>
      </c>
      <c r="K49" t="s">
        <v>81</v>
      </c>
      <c r="L49">
        <v>-1.8761022056533587</v>
      </c>
      <c r="M49" t="s">
        <v>81</v>
      </c>
      <c r="N49">
        <v>-0.95529263771298678</v>
      </c>
      <c r="O49" t="s">
        <v>81</v>
      </c>
      <c r="P49">
        <v>-0.58540991950030052</v>
      </c>
      <c r="Q49" t="s">
        <v>81</v>
      </c>
      <c r="R49">
        <v>-0.57757232698546745</v>
      </c>
      <c r="S49" t="s">
        <v>81</v>
      </c>
      <c r="T49">
        <v>-4.2427599894905982E-16</v>
      </c>
      <c r="U49" t="s">
        <v>81</v>
      </c>
      <c r="V49">
        <v>-0.32029129862725164</v>
      </c>
      <c r="W49" t="s">
        <v>81</v>
      </c>
      <c r="X49">
        <v>-0.66709958624006815</v>
      </c>
      <c r="Y49" t="s">
        <v>81</v>
      </c>
      <c r="Z49">
        <v>-5.6303513133604082E-4</v>
      </c>
      <c r="AA49" t="s">
        <v>81</v>
      </c>
      <c r="AB49">
        <v>-0.24001131647135035</v>
      </c>
      <c r="AC49" t="s">
        <v>81</v>
      </c>
      <c r="AD49">
        <v>-0.9341162368981577</v>
      </c>
      <c r="AE49" t="s">
        <v>81</v>
      </c>
      <c r="AF49">
        <v>-0.41046769436837038</v>
      </c>
      <c r="AG49" t="s">
        <v>81</v>
      </c>
      <c r="AH49">
        <v>-2.1582544751185204</v>
      </c>
      <c r="AI49" t="s">
        <v>81</v>
      </c>
      <c r="AJ49">
        <v>-1.3671359481309391</v>
      </c>
    </row>
    <row r="50" spans="1:36" x14ac:dyDescent="0.3">
      <c r="A50" t="s">
        <v>82</v>
      </c>
      <c r="B50">
        <v>4</v>
      </c>
      <c r="C50" t="s">
        <v>82</v>
      </c>
      <c r="D50">
        <v>4</v>
      </c>
      <c r="E50" t="s">
        <v>82</v>
      </c>
      <c r="F50">
        <v>4</v>
      </c>
      <c r="G50" t="s">
        <v>82</v>
      </c>
      <c r="H50">
        <v>4</v>
      </c>
      <c r="I50" t="s">
        <v>82</v>
      </c>
      <c r="J50">
        <v>4</v>
      </c>
      <c r="K50" t="s">
        <v>82</v>
      </c>
      <c r="L50">
        <v>4</v>
      </c>
      <c r="M50" t="s">
        <v>82</v>
      </c>
      <c r="N50">
        <v>4</v>
      </c>
      <c r="O50" t="s">
        <v>82</v>
      </c>
      <c r="P50">
        <v>4</v>
      </c>
      <c r="Q50" t="s">
        <v>82</v>
      </c>
      <c r="R50">
        <v>3</v>
      </c>
      <c r="S50" t="s">
        <v>82</v>
      </c>
      <c r="T50">
        <v>4</v>
      </c>
      <c r="U50" t="s">
        <v>82</v>
      </c>
      <c r="V50">
        <v>4</v>
      </c>
      <c r="W50" t="s">
        <v>82</v>
      </c>
      <c r="X50">
        <v>4</v>
      </c>
      <c r="Y50" t="s">
        <v>82</v>
      </c>
      <c r="Z50">
        <v>4</v>
      </c>
      <c r="AA50" t="s">
        <v>82</v>
      </c>
      <c r="AB50">
        <v>4</v>
      </c>
      <c r="AC50" t="s">
        <v>82</v>
      </c>
      <c r="AD50">
        <v>4</v>
      </c>
      <c r="AE50" t="s">
        <v>82</v>
      </c>
      <c r="AF50">
        <v>4</v>
      </c>
      <c r="AG50" t="s">
        <v>82</v>
      </c>
      <c r="AH50">
        <v>4</v>
      </c>
      <c r="AI50" t="s">
        <v>82</v>
      </c>
      <c r="AJ50">
        <v>4</v>
      </c>
    </row>
    <row r="51" spans="1:36" x14ac:dyDescent="0.3">
      <c r="A51" t="s">
        <v>83</v>
      </c>
      <c r="B51">
        <v>1</v>
      </c>
      <c r="C51" t="s">
        <v>83</v>
      </c>
      <c r="D51">
        <v>1</v>
      </c>
      <c r="E51" t="s">
        <v>83</v>
      </c>
      <c r="F51">
        <v>1</v>
      </c>
      <c r="G51" t="s">
        <v>83</v>
      </c>
      <c r="H51">
        <v>1</v>
      </c>
      <c r="I51" t="s">
        <v>83</v>
      </c>
      <c r="J51">
        <v>1</v>
      </c>
      <c r="K51" t="s">
        <v>83</v>
      </c>
      <c r="L51">
        <v>1</v>
      </c>
      <c r="M51" t="s">
        <v>83</v>
      </c>
      <c r="N51">
        <v>1</v>
      </c>
      <c r="O51" t="s">
        <v>83</v>
      </c>
      <c r="P51">
        <v>1</v>
      </c>
      <c r="Q51" t="s">
        <v>83</v>
      </c>
      <c r="R51">
        <v>2</v>
      </c>
      <c r="S51" t="s">
        <v>83</v>
      </c>
      <c r="T51">
        <v>1</v>
      </c>
      <c r="U51" t="s">
        <v>83</v>
      </c>
      <c r="V51">
        <v>1</v>
      </c>
      <c r="W51" t="s">
        <v>83</v>
      </c>
      <c r="X51">
        <v>1</v>
      </c>
      <c r="Y51" t="s">
        <v>83</v>
      </c>
      <c r="Z51">
        <v>1</v>
      </c>
      <c r="AA51" t="s">
        <v>83</v>
      </c>
      <c r="AB51">
        <v>1</v>
      </c>
      <c r="AC51" t="s">
        <v>83</v>
      </c>
      <c r="AD51">
        <v>1</v>
      </c>
      <c r="AE51" t="s">
        <v>83</v>
      </c>
      <c r="AF51">
        <v>1</v>
      </c>
      <c r="AG51" t="s">
        <v>83</v>
      </c>
      <c r="AH51">
        <v>1</v>
      </c>
      <c r="AI51" t="s">
        <v>83</v>
      </c>
      <c r="AJ51">
        <v>1</v>
      </c>
    </row>
    <row r="52" spans="1:36" x14ac:dyDescent="0.3">
      <c r="A52" t="s">
        <v>84</v>
      </c>
      <c r="B52">
        <v>5</v>
      </c>
      <c r="C52" t="s">
        <v>84</v>
      </c>
      <c r="D52">
        <v>5</v>
      </c>
      <c r="E52" t="s">
        <v>84</v>
      </c>
      <c r="F52">
        <v>5</v>
      </c>
      <c r="G52" t="s">
        <v>84</v>
      </c>
      <c r="H52">
        <v>5</v>
      </c>
      <c r="I52" t="s">
        <v>84</v>
      </c>
      <c r="J52">
        <v>5</v>
      </c>
      <c r="K52" t="s">
        <v>84</v>
      </c>
      <c r="L52">
        <v>5</v>
      </c>
      <c r="M52" t="s">
        <v>84</v>
      </c>
      <c r="N52">
        <v>5</v>
      </c>
      <c r="O52" t="s">
        <v>84</v>
      </c>
      <c r="P52">
        <v>5</v>
      </c>
      <c r="Q52" t="s">
        <v>84</v>
      </c>
      <c r="R52">
        <v>5</v>
      </c>
      <c r="S52" t="s">
        <v>84</v>
      </c>
      <c r="T52">
        <v>5</v>
      </c>
      <c r="U52" t="s">
        <v>84</v>
      </c>
      <c r="V52">
        <v>5</v>
      </c>
      <c r="W52" t="s">
        <v>84</v>
      </c>
      <c r="X52">
        <v>5</v>
      </c>
      <c r="Y52" t="s">
        <v>84</v>
      </c>
      <c r="Z52">
        <v>5</v>
      </c>
      <c r="AA52" t="s">
        <v>84</v>
      </c>
      <c r="AB52">
        <v>5</v>
      </c>
      <c r="AC52" t="s">
        <v>84</v>
      </c>
      <c r="AD52">
        <v>5</v>
      </c>
      <c r="AE52" t="s">
        <v>84</v>
      </c>
      <c r="AF52">
        <v>5</v>
      </c>
      <c r="AG52" t="s">
        <v>84</v>
      </c>
      <c r="AH52">
        <v>5</v>
      </c>
      <c r="AI52" t="s">
        <v>84</v>
      </c>
      <c r="AJ52">
        <v>5</v>
      </c>
    </row>
    <row r="53" spans="1:36" x14ac:dyDescent="0.3">
      <c r="A53" t="s">
        <v>85</v>
      </c>
      <c r="B53">
        <v>109</v>
      </c>
      <c r="C53" t="s">
        <v>85</v>
      </c>
      <c r="D53">
        <v>103</v>
      </c>
      <c r="E53" t="s">
        <v>85</v>
      </c>
      <c r="F53">
        <v>101</v>
      </c>
      <c r="G53" t="s">
        <v>85</v>
      </c>
      <c r="H53">
        <v>92</v>
      </c>
      <c r="I53" t="s">
        <v>85</v>
      </c>
      <c r="J53">
        <v>100</v>
      </c>
      <c r="K53" t="s">
        <v>85</v>
      </c>
      <c r="L53">
        <v>115</v>
      </c>
      <c r="M53" t="s">
        <v>85</v>
      </c>
      <c r="N53">
        <v>96</v>
      </c>
      <c r="O53" t="s">
        <v>85</v>
      </c>
      <c r="P53">
        <v>92</v>
      </c>
      <c r="Q53" t="s">
        <v>85</v>
      </c>
      <c r="R53">
        <v>105</v>
      </c>
      <c r="S53" t="s">
        <v>85</v>
      </c>
      <c r="T53">
        <v>90</v>
      </c>
      <c r="U53" t="s">
        <v>85</v>
      </c>
      <c r="V53">
        <v>92</v>
      </c>
      <c r="W53" t="s">
        <v>85</v>
      </c>
      <c r="X53">
        <v>95</v>
      </c>
      <c r="Y53" t="s">
        <v>85</v>
      </c>
      <c r="Z53">
        <v>79</v>
      </c>
      <c r="AA53" t="s">
        <v>85</v>
      </c>
      <c r="AB53">
        <v>89</v>
      </c>
      <c r="AC53" t="s">
        <v>85</v>
      </c>
      <c r="AD53">
        <v>103</v>
      </c>
      <c r="AE53" t="s">
        <v>85</v>
      </c>
      <c r="AF53">
        <v>98</v>
      </c>
      <c r="AG53" t="s">
        <v>85</v>
      </c>
      <c r="AH53">
        <v>118</v>
      </c>
      <c r="AI53" t="s">
        <v>85</v>
      </c>
      <c r="AJ53">
        <v>113</v>
      </c>
    </row>
    <row r="54" spans="1:36" ht="15" thickBot="1" x14ac:dyDescent="0.35">
      <c r="A54" s="3" t="s">
        <v>86</v>
      </c>
      <c r="B54" s="3">
        <v>27</v>
      </c>
      <c r="C54" s="3" t="s">
        <v>86</v>
      </c>
      <c r="D54" s="3">
        <v>27</v>
      </c>
      <c r="E54" s="3" t="s">
        <v>86</v>
      </c>
      <c r="F54" s="3">
        <v>27</v>
      </c>
      <c r="G54" s="3" t="s">
        <v>86</v>
      </c>
      <c r="H54" s="3">
        <v>27</v>
      </c>
      <c r="I54" s="3" t="s">
        <v>86</v>
      </c>
      <c r="J54" s="3">
        <v>27</v>
      </c>
      <c r="K54" s="3" t="s">
        <v>86</v>
      </c>
      <c r="L54" s="3">
        <v>27</v>
      </c>
      <c r="M54" s="3" t="s">
        <v>86</v>
      </c>
      <c r="N54" s="3">
        <v>27</v>
      </c>
      <c r="O54" s="3" t="s">
        <v>86</v>
      </c>
      <c r="P54" s="3">
        <v>27</v>
      </c>
      <c r="Q54" s="3" t="s">
        <v>86</v>
      </c>
      <c r="R54" s="3">
        <v>27</v>
      </c>
      <c r="S54" s="3" t="s">
        <v>86</v>
      </c>
      <c r="T54" s="3">
        <v>27</v>
      </c>
      <c r="U54" s="3" t="s">
        <v>86</v>
      </c>
      <c r="V54" s="3">
        <v>27</v>
      </c>
      <c r="W54" s="3" t="s">
        <v>86</v>
      </c>
      <c r="X54" s="3">
        <v>27</v>
      </c>
      <c r="Y54" s="3" t="s">
        <v>86</v>
      </c>
      <c r="Z54" s="3">
        <v>27</v>
      </c>
      <c r="AA54" s="3" t="s">
        <v>86</v>
      </c>
      <c r="AB54" s="3">
        <v>27</v>
      </c>
      <c r="AC54" s="3" t="s">
        <v>86</v>
      </c>
      <c r="AD54" s="3">
        <v>27</v>
      </c>
      <c r="AE54" s="3" t="s">
        <v>86</v>
      </c>
      <c r="AF54" s="3">
        <v>27</v>
      </c>
      <c r="AG54" s="3" t="s">
        <v>86</v>
      </c>
      <c r="AH54" s="3">
        <v>27</v>
      </c>
      <c r="AI54" s="3" t="s">
        <v>86</v>
      </c>
      <c r="AJ54" s="3">
        <v>27</v>
      </c>
    </row>
  </sheetData>
  <mergeCells count="3">
    <mergeCell ref="A3:AJ3"/>
    <mergeCell ref="A21:AJ21"/>
    <mergeCell ref="A39:AJ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145E-1824-4B91-BD9A-04D9A58639BD}">
  <dimension ref="A2:D254"/>
  <sheetViews>
    <sheetView topLeftCell="A152" workbookViewId="0">
      <selection activeCell="D15" sqref="D15"/>
    </sheetView>
  </sheetViews>
  <sheetFormatPr defaultRowHeight="14.4" x14ac:dyDescent="0.3"/>
  <cols>
    <col min="2" max="2" width="20.6640625" customWidth="1"/>
    <col min="3" max="3" width="16.21875" customWidth="1"/>
    <col min="4" max="4" width="33.44140625" customWidth="1"/>
  </cols>
  <sheetData>
    <row r="2" spans="2:4" ht="18" x14ac:dyDescent="0.35">
      <c r="B2" s="28" t="s">
        <v>90</v>
      </c>
      <c r="C2" s="28"/>
      <c r="D2" s="28"/>
    </row>
    <row r="3" spans="2:4" ht="18" x14ac:dyDescent="0.35">
      <c r="B3" s="13"/>
      <c r="C3" s="13"/>
      <c r="D3" s="13"/>
    </row>
    <row r="4" spans="2:4" ht="15" thickBot="1" x14ac:dyDescent="0.35">
      <c r="B4" t="s">
        <v>102</v>
      </c>
    </row>
    <row r="5" spans="2:4" x14ac:dyDescent="0.3">
      <c r="B5" s="16" t="s">
        <v>5</v>
      </c>
      <c r="C5" s="4"/>
      <c r="D5" s="4"/>
    </row>
    <row r="6" spans="2:4" x14ac:dyDescent="0.3">
      <c r="B6" s="11"/>
      <c r="C6" s="12" t="s">
        <v>101</v>
      </c>
      <c r="D6" s="12" t="s">
        <v>100</v>
      </c>
    </row>
    <row r="7" spans="2:4" x14ac:dyDescent="0.3">
      <c r="B7" t="s">
        <v>74</v>
      </c>
      <c r="C7" s="10">
        <v>4.6363636363636402</v>
      </c>
      <c r="D7" s="10">
        <v>4.0370370370370372</v>
      </c>
    </row>
    <row r="8" spans="2:4" x14ac:dyDescent="0.3">
      <c r="B8" t="s">
        <v>91</v>
      </c>
      <c r="C8" s="8">
        <v>0.25454545454545324</v>
      </c>
      <c r="D8" s="8">
        <v>1.5754985754985766</v>
      </c>
    </row>
    <row r="9" spans="2:4" x14ac:dyDescent="0.3">
      <c r="B9" t="s">
        <v>92</v>
      </c>
      <c r="C9">
        <v>11</v>
      </c>
      <c r="D9">
        <v>27</v>
      </c>
    </row>
    <row r="10" spans="2:4" x14ac:dyDescent="0.3">
      <c r="B10" t="s">
        <v>93</v>
      </c>
      <c r="C10">
        <v>0</v>
      </c>
    </row>
    <row r="11" spans="2:4" x14ac:dyDescent="0.3">
      <c r="B11" t="s">
        <v>94</v>
      </c>
      <c r="C11">
        <v>36</v>
      </c>
    </row>
    <row r="12" spans="2:4" x14ac:dyDescent="0.3">
      <c r="B12" t="s">
        <v>95</v>
      </c>
      <c r="C12" s="8">
        <v>2.0994487563058879</v>
      </c>
    </row>
    <row r="13" spans="2:4" x14ac:dyDescent="0.3">
      <c r="B13" t="s">
        <v>96</v>
      </c>
      <c r="C13" s="8">
        <v>2.1425768211205388E-2</v>
      </c>
    </row>
    <row r="14" spans="2:4" x14ac:dyDescent="0.3">
      <c r="B14" t="s">
        <v>97</v>
      </c>
      <c r="C14" s="8">
        <v>1.6882977141168172</v>
      </c>
    </row>
    <row r="15" spans="2:4" x14ac:dyDescent="0.3">
      <c r="B15" t="s">
        <v>98</v>
      </c>
      <c r="C15" s="10">
        <v>4.2851536422410776E-2</v>
      </c>
    </row>
    <row r="16" spans="2:4" ht="15" thickBot="1" x14ac:dyDescent="0.35">
      <c r="B16" s="3" t="s">
        <v>99</v>
      </c>
      <c r="C16" s="9">
        <v>2.028094000980452</v>
      </c>
      <c r="D16" s="3"/>
    </row>
    <row r="18" spans="2:4" ht="15" thickBot="1" x14ac:dyDescent="0.35">
      <c r="B18" t="s">
        <v>103</v>
      </c>
    </row>
    <row r="19" spans="2:4" x14ac:dyDescent="0.3">
      <c r="B19" s="4"/>
      <c r="C19" s="4" t="s">
        <v>6</v>
      </c>
      <c r="D19" s="4"/>
    </row>
    <row r="20" spans="2:4" x14ac:dyDescent="0.3">
      <c r="B20" s="11"/>
      <c r="C20" s="12" t="s">
        <v>101</v>
      </c>
      <c r="D20" s="12" t="s">
        <v>100</v>
      </c>
    </row>
    <row r="21" spans="2:4" x14ac:dyDescent="0.3">
      <c r="B21" t="s">
        <v>74</v>
      </c>
      <c r="C21" s="10">
        <v>4.5454545454545459</v>
      </c>
      <c r="D21" s="10">
        <v>3.8148148148148149</v>
      </c>
    </row>
    <row r="22" spans="2:4" x14ac:dyDescent="0.3">
      <c r="B22" t="s">
        <v>91</v>
      </c>
      <c r="C22" s="8">
        <v>0.67272727272727195</v>
      </c>
      <c r="D22" s="8">
        <v>1.4643874643874644</v>
      </c>
    </row>
    <row r="23" spans="2:4" x14ac:dyDescent="0.3">
      <c r="B23" t="s">
        <v>92</v>
      </c>
      <c r="C23">
        <v>11</v>
      </c>
      <c r="D23">
        <v>27</v>
      </c>
    </row>
    <row r="24" spans="2:4" x14ac:dyDescent="0.3">
      <c r="B24" t="s">
        <v>93</v>
      </c>
      <c r="C24">
        <v>0</v>
      </c>
    </row>
    <row r="25" spans="2:4" x14ac:dyDescent="0.3">
      <c r="B25" t="s">
        <v>94</v>
      </c>
      <c r="C25">
        <v>27</v>
      </c>
    </row>
    <row r="26" spans="2:4" x14ac:dyDescent="0.3">
      <c r="B26" t="s">
        <v>95</v>
      </c>
      <c r="C26" s="8">
        <v>2.1508614110901654</v>
      </c>
    </row>
    <row r="27" spans="2:4" x14ac:dyDescent="0.3">
      <c r="B27" t="s">
        <v>96</v>
      </c>
      <c r="C27" s="8">
        <v>2.0298721911480286E-2</v>
      </c>
    </row>
    <row r="28" spans="2:4" x14ac:dyDescent="0.3">
      <c r="B28" t="s">
        <v>97</v>
      </c>
      <c r="C28" s="8">
        <v>1.7032884457221271</v>
      </c>
    </row>
    <row r="29" spans="2:4" x14ac:dyDescent="0.3">
      <c r="B29" t="s">
        <v>98</v>
      </c>
      <c r="C29" s="10">
        <v>4.0597443822960572E-2</v>
      </c>
    </row>
    <row r="30" spans="2:4" ht="15" thickBot="1" x14ac:dyDescent="0.35">
      <c r="B30" s="3" t="s">
        <v>99</v>
      </c>
      <c r="C30" s="9">
        <v>2.0518305164802859</v>
      </c>
      <c r="D30" s="3"/>
    </row>
    <row r="32" spans="2:4" ht="15" thickBot="1" x14ac:dyDescent="0.35">
      <c r="B32" t="s">
        <v>104</v>
      </c>
    </row>
    <row r="33" spans="1:4" x14ac:dyDescent="0.3">
      <c r="B33" s="16" t="s">
        <v>8</v>
      </c>
      <c r="C33" s="4"/>
      <c r="D33" s="4"/>
    </row>
    <row r="34" spans="1:4" x14ac:dyDescent="0.3">
      <c r="B34" s="11"/>
      <c r="C34" s="12" t="s">
        <v>101</v>
      </c>
      <c r="D34" s="12" t="s">
        <v>100</v>
      </c>
    </row>
    <row r="35" spans="1:4" x14ac:dyDescent="0.3">
      <c r="B35" t="s">
        <v>74</v>
      </c>
      <c r="C35" s="10">
        <v>4.3636363636363633</v>
      </c>
      <c r="D35" s="10">
        <v>3.7407407407407409</v>
      </c>
    </row>
    <row r="36" spans="1:4" x14ac:dyDescent="0.3">
      <c r="B36" t="s">
        <v>91</v>
      </c>
      <c r="C36" s="8">
        <v>0.65454545454545321</v>
      </c>
      <c r="D36" s="8">
        <v>1.2763532763532754</v>
      </c>
    </row>
    <row r="37" spans="1:4" x14ac:dyDescent="0.3">
      <c r="B37" t="s">
        <v>92</v>
      </c>
      <c r="C37">
        <v>11</v>
      </c>
      <c r="D37">
        <v>27</v>
      </c>
    </row>
    <row r="38" spans="1:4" x14ac:dyDescent="0.3">
      <c r="B38" t="s">
        <v>93</v>
      </c>
      <c r="C38">
        <v>0</v>
      </c>
    </row>
    <row r="39" spans="1:4" x14ac:dyDescent="0.3">
      <c r="B39" t="s">
        <v>94</v>
      </c>
      <c r="C39">
        <v>26</v>
      </c>
    </row>
    <row r="40" spans="1:4" x14ac:dyDescent="0.3">
      <c r="B40" t="s">
        <v>95</v>
      </c>
      <c r="C40" s="8">
        <v>1.906239601974397</v>
      </c>
    </row>
    <row r="41" spans="1:4" x14ac:dyDescent="0.3">
      <c r="B41" t="s">
        <v>96</v>
      </c>
      <c r="C41" s="8">
        <v>3.3864977963142258E-2</v>
      </c>
    </row>
    <row r="42" spans="1:4" x14ac:dyDescent="0.3">
      <c r="B42" t="s">
        <v>97</v>
      </c>
      <c r="C42" s="8">
        <v>1.7056179197592738</v>
      </c>
    </row>
    <row r="43" spans="1:4" x14ac:dyDescent="0.3">
      <c r="B43" t="s">
        <v>98</v>
      </c>
      <c r="C43" s="10">
        <v>6.7729955926284516E-2</v>
      </c>
    </row>
    <row r="44" spans="1:4" ht="15" thickBot="1" x14ac:dyDescent="0.35">
      <c r="B44" s="3" t="s">
        <v>99</v>
      </c>
      <c r="C44" s="9">
        <v>2.0555294386428731</v>
      </c>
      <c r="D44" s="3"/>
    </row>
    <row r="46" spans="1:4" ht="15" thickBot="1" x14ac:dyDescent="0.35">
      <c r="B46" t="s">
        <v>105</v>
      </c>
    </row>
    <row r="47" spans="1:4" x14ac:dyDescent="0.3">
      <c r="A47" s="14"/>
      <c r="B47" s="15" t="s">
        <v>9</v>
      </c>
      <c r="C47" s="15"/>
      <c r="D47" s="4"/>
    </row>
    <row r="48" spans="1:4" x14ac:dyDescent="0.3">
      <c r="A48" s="14"/>
      <c r="B48" s="17"/>
      <c r="C48" s="12" t="s">
        <v>101</v>
      </c>
      <c r="D48" s="12" t="s">
        <v>100</v>
      </c>
    </row>
    <row r="49" spans="2:4" x14ac:dyDescent="0.3">
      <c r="B49" t="s">
        <v>74</v>
      </c>
      <c r="C49" s="10">
        <v>4.1818181818181817</v>
      </c>
      <c r="D49" s="10">
        <v>3.4074074074074074</v>
      </c>
    </row>
    <row r="50" spans="2:4" x14ac:dyDescent="0.3">
      <c r="B50" t="s">
        <v>91</v>
      </c>
      <c r="C50" s="8">
        <v>0.76363636363636256</v>
      </c>
      <c r="D50" s="8">
        <v>1.0968660968660975</v>
      </c>
    </row>
    <row r="51" spans="2:4" x14ac:dyDescent="0.3">
      <c r="B51" t="s">
        <v>92</v>
      </c>
      <c r="C51">
        <v>11</v>
      </c>
      <c r="D51">
        <v>27</v>
      </c>
    </row>
    <row r="52" spans="2:4" x14ac:dyDescent="0.3">
      <c r="B52" t="s">
        <v>93</v>
      </c>
      <c r="C52">
        <v>0</v>
      </c>
    </row>
    <row r="53" spans="2:4" x14ac:dyDescent="0.3">
      <c r="B53" t="s">
        <v>94</v>
      </c>
      <c r="C53">
        <v>22</v>
      </c>
    </row>
    <row r="54" spans="2:4" x14ac:dyDescent="0.3">
      <c r="B54" t="s">
        <v>95</v>
      </c>
      <c r="C54" s="8">
        <v>2.3344466032422653</v>
      </c>
    </row>
    <row r="55" spans="2:4" x14ac:dyDescent="0.3">
      <c r="B55" t="s">
        <v>96</v>
      </c>
      <c r="C55" s="8">
        <v>1.455158252554779E-2</v>
      </c>
    </row>
    <row r="56" spans="2:4" x14ac:dyDescent="0.3">
      <c r="B56" t="s">
        <v>97</v>
      </c>
      <c r="C56" s="8">
        <v>1.7171443743802424</v>
      </c>
    </row>
    <row r="57" spans="2:4" x14ac:dyDescent="0.3">
      <c r="B57" t="s">
        <v>98</v>
      </c>
      <c r="C57" s="10">
        <v>2.9103165051095579E-2</v>
      </c>
    </row>
    <row r="58" spans="2:4" ht="15" thickBot="1" x14ac:dyDescent="0.35">
      <c r="B58" s="3" t="s">
        <v>99</v>
      </c>
      <c r="C58" s="9">
        <v>2.0738730679040258</v>
      </c>
      <c r="D58" s="3"/>
    </row>
    <row r="60" spans="2:4" ht="15" thickBot="1" x14ac:dyDescent="0.35">
      <c r="B60" t="s">
        <v>106</v>
      </c>
    </row>
    <row r="61" spans="2:4" x14ac:dyDescent="0.3">
      <c r="B61" s="16" t="s">
        <v>10</v>
      </c>
      <c r="C61" s="4"/>
      <c r="D61" s="4"/>
    </row>
    <row r="62" spans="2:4" x14ac:dyDescent="0.3">
      <c r="B62" s="18"/>
      <c r="C62" s="12" t="s">
        <v>101</v>
      </c>
      <c r="D62" s="12" t="s">
        <v>100</v>
      </c>
    </row>
    <row r="63" spans="2:4" x14ac:dyDescent="0.3">
      <c r="B63" t="s">
        <v>74</v>
      </c>
      <c r="C63" s="10">
        <v>4.3636363636363633</v>
      </c>
      <c r="D63" s="10">
        <v>3.7037037037037037</v>
      </c>
    </row>
    <row r="64" spans="2:4" x14ac:dyDescent="0.3">
      <c r="B64" t="s">
        <v>91</v>
      </c>
      <c r="C64" s="8">
        <v>0.65454545454545321</v>
      </c>
      <c r="D64" s="8">
        <v>1.37037037037037</v>
      </c>
    </row>
    <row r="65" spans="2:4" x14ac:dyDescent="0.3">
      <c r="B65" t="s">
        <v>92</v>
      </c>
      <c r="C65">
        <v>11</v>
      </c>
      <c r="D65">
        <v>27</v>
      </c>
    </row>
    <row r="66" spans="2:4" x14ac:dyDescent="0.3">
      <c r="B66" t="s">
        <v>93</v>
      </c>
      <c r="C66">
        <v>0</v>
      </c>
    </row>
    <row r="67" spans="2:4" x14ac:dyDescent="0.3">
      <c r="B67" t="s">
        <v>94</v>
      </c>
      <c r="C67">
        <v>27</v>
      </c>
    </row>
    <row r="68" spans="2:4" x14ac:dyDescent="0.3">
      <c r="B68" t="s">
        <v>95</v>
      </c>
      <c r="C68" s="8">
        <v>1.9874371523225911</v>
      </c>
    </row>
    <row r="69" spans="2:4" x14ac:dyDescent="0.3">
      <c r="B69" t="s">
        <v>96</v>
      </c>
      <c r="C69" s="8">
        <v>2.855221330375048E-2</v>
      </c>
    </row>
    <row r="70" spans="2:4" x14ac:dyDescent="0.3">
      <c r="B70" t="s">
        <v>97</v>
      </c>
      <c r="C70" s="8">
        <v>1.7032884457221271</v>
      </c>
    </row>
    <row r="71" spans="2:4" x14ac:dyDescent="0.3">
      <c r="B71" t="s">
        <v>98</v>
      </c>
      <c r="C71" s="10">
        <v>5.7104426607500959E-2</v>
      </c>
    </row>
    <row r="72" spans="2:4" ht="15" thickBot="1" x14ac:dyDescent="0.35">
      <c r="B72" s="3" t="s">
        <v>99</v>
      </c>
      <c r="C72" s="9">
        <v>2.0518305164802859</v>
      </c>
      <c r="D72" s="3"/>
    </row>
    <row r="74" spans="2:4" ht="15" thickBot="1" x14ac:dyDescent="0.35">
      <c r="B74" t="s">
        <v>107</v>
      </c>
    </row>
    <row r="75" spans="2:4" x14ac:dyDescent="0.3">
      <c r="B75" s="16" t="s">
        <v>11</v>
      </c>
      <c r="C75" s="4"/>
      <c r="D75" s="4"/>
    </row>
    <row r="76" spans="2:4" x14ac:dyDescent="0.3">
      <c r="B76" s="11"/>
      <c r="C76" s="12" t="s">
        <v>101</v>
      </c>
      <c r="D76" s="12" t="s">
        <v>100</v>
      </c>
    </row>
    <row r="77" spans="2:4" x14ac:dyDescent="0.3">
      <c r="B77" t="s">
        <v>74</v>
      </c>
      <c r="C77" s="10">
        <v>4.4545454545454541</v>
      </c>
      <c r="D77" s="10">
        <v>4.2592592592592595</v>
      </c>
    </row>
    <row r="78" spans="2:4" x14ac:dyDescent="0.3">
      <c r="B78" t="s">
        <v>91</v>
      </c>
      <c r="C78" s="8">
        <v>0.47272727272727194</v>
      </c>
      <c r="D78" s="8">
        <v>0.96866096866096774</v>
      </c>
    </row>
    <row r="79" spans="2:4" x14ac:dyDescent="0.3">
      <c r="B79" t="s">
        <v>92</v>
      </c>
      <c r="C79">
        <v>11</v>
      </c>
      <c r="D79">
        <v>27</v>
      </c>
    </row>
    <row r="80" spans="2:4" x14ac:dyDescent="0.3">
      <c r="B80" t="s">
        <v>93</v>
      </c>
      <c r="C80">
        <v>0</v>
      </c>
    </row>
    <row r="81" spans="2:4" x14ac:dyDescent="0.3">
      <c r="B81" t="s">
        <v>94</v>
      </c>
      <c r="C81">
        <v>27</v>
      </c>
    </row>
    <row r="82" spans="2:4" x14ac:dyDescent="0.3">
      <c r="B82" t="s">
        <v>95</v>
      </c>
      <c r="C82" s="8">
        <v>0.69545087479789391</v>
      </c>
    </row>
    <row r="83" spans="2:4" x14ac:dyDescent="0.3">
      <c r="B83" t="s">
        <v>96</v>
      </c>
      <c r="C83" s="8">
        <v>0.2463577741627076</v>
      </c>
    </row>
    <row r="84" spans="2:4" x14ac:dyDescent="0.3">
      <c r="B84" t="s">
        <v>97</v>
      </c>
      <c r="C84" s="8">
        <v>1.7032884457221271</v>
      </c>
    </row>
    <row r="85" spans="2:4" x14ac:dyDescent="0.3">
      <c r="B85" t="s">
        <v>98</v>
      </c>
      <c r="C85" s="10">
        <v>0.4927155483254152</v>
      </c>
    </row>
    <row r="86" spans="2:4" ht="15" thickBot="1" x14ac:dyDescent="0.35">
      <c r="B86" s="3" t="s">
        <v>99</v>
      </c>
      <c r="C86" s="9">
        <v>2.0518305164802859</v>
      </c>
      <c r="D86" s="3"/>
    </row>
    <row r="88" spans="2:4" ht="15" thickBot="1" x14ac:dyDescent="0.35">
      <c r="B88" t="s">
        <v>108</v>
      </c>
    </row>
    <row r="89" spans="2:4" x14ac:dyDescent="0.3">
      <c r="B89" s="16" t="s">
        <v>12</v>
      </c>
      <c r="C89" s="4"/>
      <c r="D89" s="4"/>
    </row>
    <row r="90" spans="2:4" x14ac:dyDescent="0.3">
      <c r="B90" s="11"/>
      <c r="C90" s="12" t="s">
        <v>101</v>
      </c>
      <c r="D90" s="12" t="s">
        <v>100</v>
      </c>
    </row>
    <row r="91" spans="2:4" x14ac:dyDescent="0.3">
      <c r="B91" t="s">
        <v>74</v>
      </c>
      <c r="C91" s="10">
        <v>3.1818181818181817</v>
      </c>
      <c r="D91" s="10">
        <v>3.5555555555555554</v>
      </c>
    </row>
    <row r="92" spans="2:4" x14ac:dyDescent="0.3">
      <c r="B92" t="s">
        <v>91</v>
      </c>
      <c r="C92" s="8">
        <v>0.763636363636364</v>
      </c>
      <c r="D92" s="8">
        <v>1.3333333333333341</v>
      </c>
    </row>
    <row r="93" spans="2:4" x14ac:dyDescent="0.3">
      <c r="B93" t="s">
        <v>92</v>
      </c>
      <c r="C93">
        <v>11</v>
      </c>
      <c r="D93">
        <v>27</v>
      </c>
    </row>
    <row r="94" spans="2:4" x14ac:dyDescent="0.3">
      <c r="B94" t="s">
        <v>93</v>
      </c>
      <c r="C94">
        <v>0</v>
      </c>
    </row>
    <row r="95" spans="2:4" x14ac:dyDescent="0.3">
      <c r="B95" t="s">
        <v>94</v>
      </c>
      <c r="C95">
        <v>25</v>
      </c>
    </row>
    <row r="96" spans="2:4" x14ac:dyDescent="0.3">
      <c r="B96" t="s">
        <v>95</v>
      </c>
      <c r="C96" s="8">
        <v>-1.0843029159170245</v>
      </c>
    </row>
    <row r="97" spans="2:4" x14ac:dyDescent="0.3">
      <c r="B97" t="s">
        <v>96</v>
      </c>
      <c r="C97" s="8">
        <v>0.14428851129920664</v>
      </c>
    </row>
    <row r="98" spans="2:4" x14ac:dyDescent="0.3">
      <c r="B98" t="s">
        <v>97</v>
      </c>
      <c r="C98" s="8">
        <v>1.7081407612518986</v>
      </c>
    </row>
    <row r="99" spans="2:4" x14ac:dyDescent="0.3">
      <c r="B99" t="s">
        <v>98</v>
      </c>
      <c r="C99" s="10">
        <v>0.28857702259841328</v>
      </c>
    </row>
    <row r="100" spans="2:4" ht="15" thickBot="1" x14ac:dyDescent="0.35">
      <c r="B100" s="3" t="s">
        <v>99</v>
      </c>
      <c r="C100" s="9">
        <v>2.0595385527532977</v>
      </c>
      <c r="D100" s="3"/>
    </row>
    <row r="102" spans="2:4" ht="15" thickBot="1" x14ac:dyDescent="0.35">
      <c r="B102" t="s">
        <v>109</v>
      </c>
    </row>
    <row r="103" spans="2:4" x14ac:dyDescent="0.3">
      <c r="B103" s="16" t="s">
        <v>13</v>
      </c>
      <c r="C103" s="4"/>
      <c r="D103" s="4"/>
    </row>
    <row r="104" spans="2:4" x14ac:dyDescent="0.3">
      <c r="B104" s="11"/>
      <c r="C104" s="12" t="s">
        <v>101</v>
      </c>
      <c r="D104" s="12" t="s">
        <v>100</v>
      </c>
    </row>
    <row r="105" spans="2:4" x14ac:dyDescent="0.3">
      <c r="B105" t="s">
        <v>74</v>
      </c>
      <c r="C105" s="10">
        <v>2.5454545454545454</v>
      </c>
      <c r="D105" s="10">
        <v>3.4074074074074074</v>
      </c>
    </row>
    <row r="106" spans="2:4" x14ac:dyDescent="0.3">
      <c r="B106" t="s">
        <v>91</v>
      </c>
      <c r="C106" s="8">
        <v>2.2727272727272734</v>
      </c>
      <c r="D106" s="8">
        <v>1.4045584045584052</v>
      </c>
    </row>
    <row r="107" spans="2:4" x14ac:dyDescent="0.3">
      <c r="B107" t="s">
        <v>92</v>
      </c>
      <c r="C107">
        <v>11</v>
      </c>
      <c r="D107">
        <v>27</v>
      </c>
    </row>
    <row r="108" spans="2:4" x14ac:dyDescent="0.3">
      <c r="B108" t="s">
        <v>93</v>
      </c>
      <c r="C108">
        <v>0</v>
      </c>
    </row>
    <row r="109" spans="2:4" x14ac:dyDescent="0.3">
      <c r="B109" t="s">
        <v>94</v>
      </c>
      <c r="C109">
        <v>15</v>
      </c>
    </row>
    <row r="110" spans="2:4" x14ac:dyDescent="0.3">
      <c r="B110" t="s">
        <v>95</v>
      </c>
      <c r="C110" s="8">
        <v>-1.6948925681964462</v>
      </c>
    </row>
    <row r="111" spans="2:4" x14ac:dyDescent="0.3">
      <c r="B111" t="s">
        <v>96</v>
      </c>
      <c r="C111" s="8">
        <v>5.5374480721388161E-2</v>
      </c>
    </row>
    <row r="112" spans="2:4" x14ac:dyDescent="0.3">
      <c r="B112" t="s">
        <v>97</v>
      </c>
      <c r="C112" s="8">
        <v>1.7530503556925723</v>
      </c>
    </row>
    <row r="113" spans="2:4" x14ac:dyDescent="0.3">
      <c r="B113" t="s">
        <v>98</v>
      </c>
      <c r="C113" s="10">
        <v>0.11074896144277632</v>
      </c>
    </row>
    <row r="114" spans="2:4" ht="15" thickBot="1" x14ac:dyDescent="0.35">
      <c r="B114" s="3" t="s">
        <v>99</v>
      </c>
      <c r="C114" s="8">
        <v>2.1314495455597742</v>
      </c>
      <c r="D114" s="3"/>
    </row>
    <row r="116" spans="2:4" ht="15" thickBot="1" x14ac:dyDescent="0.35">
      <c r="B116" t="s">
        <v>110</v>
      </c>
    </row>
    <row r="117" spans="2:4" x14ac:dyDescent="0.3">
      <c r="B117" s="16" t="s">
        <v>14</v>
      </c>
      <c r="C117" s="4"/>
      <c r="D117" s="4"/>
    </row>
    <row r="118" spans="2:4" x14ac:dyDescent="0.3">
      <c r="B118" s="11"/>
      <c r="C118" s="12" t="s">
        <v>101</v>
      </c>
      <c r="D118" s="12" t="s">
        <v>100</v>
      </c>
    </row>
    <row r="119" spans="2:4" x14ac:dyDescent="0.3">
      <c r="B119" t="s">
        <v>74</v>
      </c>
      <c r="C119" s="10">
        <v>4.3636363636363633</v>
      </c>
      <c r="D119" s="10">
        <v>3.8888888888888888</v>
      </c>
    </row>
    <row r="120" spans="2:4" x14ac:dyDescent="0.3">
      <c r="B120" t="s">
        <v>91</v>
      </c>
      <c r="C120" s="8">
        <v>0.65454545454545321</v>
      </c>
      <c r="D120" s="8">
        <v>1.3333333333333341</v>
      </c>
    </row>
    <row r="121" spans="2:4" x14ac:dyDescent="0.3">
      <c r="B121" t="s">
        <v>92</v>
      </c>
      <c r="C121">
        <v>11</v>
      </c>
      <c r="D121">
        <v>27</v>
      </c>
    </row>
    <row r="122" spans="2:4" x14ac:dyDescent="0.3">
      <c r="B122" t="s">
        <v>93</v>
      </c>
      <c r="C122">
        <v>0</v>
      </c>
    </row>
    <row r="123" spans="2:4" x14ac:dyDescent="0.3">
      <c r="B123" t="s">
        <v>94</v>
      </c>
      <c r="C123">
        <v>26</v>
      </c>
    </row>
    <row r="124" spans="2:4" x14ac:dyDescent="0.3">
      <c r="B124" t="s">
        <v>95</v>
      </c>
      <c r="C124" s="8">
        <v>1.4387155899362587</v>
      </c>
    </row>
    <row r="125" spans="2:4" x14ac:dyDescent="0.3">
      <c r="B125" t="s">
        <v>96</v>
      </c>
      <c r="C125" s="8">
        <v>8.1080668014896468E-2</v>
      </c>
    </row>
    <row r="126" spans="2:4" x14ac:dyDescent="0.3">
      <c r="B126" t="s">
        <v>97</v>
      </c>
      <c r="C126" s="8">
        <v>1.7056179197592738</v>
      </c>
    </row>
    <row r="127" spans="2:4" x14ac:dyDescent="0.3">
      <c r="B127" t="s">
        <v>98</v>
      </c>
      <c r="C127" s="10">
        <v>0.16216133602979294</v>
      </c>
    </row>
    <row r="128" spans="2:4" ht="15" thickBot="1" x14ac:dyDescent="0.35">
      <c r="B128" s="3" t="s">
        <v>99</v>
      </c>
      <c r="C128" s="9">
        <v>2.0555294386428731</v>
      </c>
      <c r="D128" s="3"/>
    </row>
    <row r="130" spans="2:4" ht="15" thickBot="1" x14ac:dyDescent="0.35">
      <c r="B130" t="s">
        <v>111</v>
      </c>
    </row>
    <row r="131" spans="2:4" x14ac:dyDescent="0.3">
      <c r="B131" s="16" t="s">
        <v>15</v>
      </c>
      <c r="C131" s="4"/>
      <c r="D131" s="4"/>
    </row>
    <row r="132" spans="2:4" x14ac:dyDescent="0.3">
      <c r="B132" s="11"/>
      <c r="C132" s="12" t="s">
        <v>101</v>
      </c>
      <c r="D132" s="12" t="s">
        <v>100</v>
      </c>
    </row>
    <row r="133" spans="2:4" x14ac:dyDescent="0.3">
      <c r="B133" t="s">
        <v>74</v>
      </c>
      <c r="C133" s="10">
        <v>4</v>
      </c>
      <c r="D133" s="10">
        <v>3.3333333333333335</v>
      </c>
    </row>
    <row r="134" spans="2:4" x14ac:dyDescent="0.3">
      <c r="B134" t="s">
        <v>91</v>
      </c>
      <c r="C134" s="8">
        <v>1.2</v>
      </c>
      <c r="D134" s="8">
        <v>1.6923076923076923</v>
      </c>
    </row>
    <row r="135" spans="2:4" x14ac:dyDescent="0.3">
      <c r="B135" t="s">
        <v>92</v>
      </c>
      <c r="C135">
        <v>11</v>
      </c>
      <c r="D135">
        <v>27</v>
      </c>
    </row>
    <row r="136" spans="2:4" x14ac:dyDescent="0.3">
      <c r="B136" t="s">
        <v>93</v>
      </c>
      <c r="C136">
        <v>0</v>
      </c>
    </row>
    <row r="137" spans="2:4" x14ac:dyDescent="0.3">
      <c r="B137" t="s">
        <v>94</v>
      </c>
      <c r="C137">
        <v>22</v>
      </c>
    </row>
    <row r="138" spans="2:4" x14ac:dyDescent="0.3">
      <c r="B138" t="s">
        <v>95</v>
      </c>
      <c r="C138" s="8">
        <v>1.6085567334653876</v>
      </c>
    </row>
    <row r="139" spans="2:4" x14ac:dyDescent="0.3">
      <c r="B139" t="s">
        <v>96</v>
      </c>
      <c r="C139" s="8">
        <v>6.0985432420318557E-2</v>
      </c>
    </row>
    <row r="140" spans="2:4" x14ac:dyDescent="0.3">
      <c r="B140" t="s">
        <v>97</v>
      </c>
      <c r="C140" s="8">
        <v>1.7171443743802424</v>
      </c>
    </row>
    <row r="141" spans="2:4" x14ac:dyDescent="0.3">
      <c r="B141" t="s">
        <v>98</v>
      </c>
      <c r="C141" s="10">
        <v>0.12197086484063711</v>
      </c>
    </row>
    <row r="142" spans="2:4" ht="15" thickBot="1" x14ac:dyDescent="0.35">
      <c r="B142" s="3" t="s">
        <v>99</v>
      </c>
      <c r="C142" s="9">
        <v>2.0738730679040258</v>
      </c>
      <c r="D142" s="3"/>
    </row>
    <row r="144" spans="2:4" ht="15" thickBot="1" x14ac:dyDescent="0.35">
      <c r="B144" t="s">
        <v>112</v>
      </c>
    </row>
    <row r="145" spans="2:4" x14ac:dyDescent="0.3">
      <c r="B145" s="16" t="s">
        <v>16</v>
      </c>
      <c r="C145" s="4"/>
      <c r="D145" s="4"/>
    </row>
    <row r="146" spans="2:4" x14ac:dyDescent="0.3">
      <c r="B146" s="11"/>
      <c r="C146" s="12" t="s">
        <v>101</v>
      </c>
      <c r="D146" s="12" t="s">
        <v>100</v>
      </c>
    </row>
    <row r="147" spans="2:4" x14ac:dyDescent="0.3">
      <c r="B147" t="s">
        <v>74</v>
      </c>
      <c r="C147" s="10">
        <v>3.0909090909090908</v>
      </c>
      <c r="D147" s="10">
        <v>3.4074074074074074</v>
      </c>
    </row>
    <row r="148" spans="2:4" x14ac:dyDescent="0.3">
      <c r="B148" t="s">
        <v>91</v>
      </c>
      <c r="C148" s="8">
        <v>2.0909090909090908</v>
      </c>
      <c r="D148" s="8">
        <v>1.4814814814814821</v>
      </c>
    </row>
    <row r="149" spans="2:4" x14ac:dyDescent="0.3">
      <c r="B149" t="s">
        <v>92</v>
      </c>
      <c r="C149">
        <v>11</v>
      </c>
      <c r="D149">
        <v>27</v>
      </c>
    </row>
    <row r="150" spans="2:4" x14ac:dyDescent="0.3">
      <c r="B150" t="s">
        <v>93</v>
      </c>
      <c r="C150">
        <v>0</v>
      </c>
    </row>
    <row r="151" spans="2:4" x14ac:dyDescent="0.3">
      <c r="B151" t="s">
        <v>94</v>
      </c>
      <c r="C151">
        <v>16</v>
      </c>
    </row>
    <row r="152" spans="2:4" x14ac:dyDescent="0.3">
      <c r="B152" t="s">
        <v>95</v>
      </c>
      <c r="C152" s="8">
        <v>-0.63948537647155801</v>
      </c>
    </row>
    <row r="153" spans="2:4" x14ac:dyDescent="0.3">
      <c r="B153" t="s">
        <v>96</v>
      </c>
      <c r="C153" s="8">
        <v>0.26577864656682737</v>
      </c>
    </row>
    <row r="154" spans="2:4" x14ac:dyDescent="0.3">
      <c r="B154" t="s">
        <v>97</v>
      </c>
      <c r="C154" s="8">
        <v>1.7458836762762506</v>
      </c>
    </row>
    <row r="155" spans="2:4" x14ac:dyDescent="0.3">
      <c r="B155" t="s">
        <v>98</v>
      </c>
      <c r="C155" s="10">
        <v>0.53155729313365474</v>
      </c>
    </row>
    <row r="156" spans="2:4" ht="15" thickBot="1" x14ac:dyDescent="0.35">
      <c r="B156" s="3" t="s">
        <v>99</v>
      </c>
      <c r="C156" s="9">
        <v>2.119905299221255</v>
      </c>
      <c r="D156" s="3"/>
    </row>
    <row r="158" spans="2:4" ht="15" thickBot="1" x14ac:dyDescent="0.35">
      <c r="B158" t="s">
        <v>113</v>
      </c>
    </row>
    <row r="159" spans="2:4" x14ac:dyDescent="0.3">
      <c r="B159" s="16" t="s">
        <v>17</v>
      </c>
      <c r="C159" s="4"/>
      <c r="D159" s="4"/>
    </row>
    <row r="160" spans="2:4" x14ac:dyDescent="0.3">
      <c r="B160" s="11"/>
      <c r="C160" s="12" t="s">
        <v>101</v>
      </c>
      <c r="D160" s="12" t="s">
        <v>100</v>
      </c>
    </row>
    <row r="161" spans="2:4" x14ac:dyDescent="0.3">
      <c r="B161" t="s">
        <v>74</v>
      </c>
      <c r="C161" s="10">
        <v>3.6363636363636362</v>
      </c>
      <c r="D161" s="10">
        <v>3.5185185185185186</v>
      </c>
    </row>
    <row r="162" spans="2:4" x14ac:dyDescent="0.3">
      <c r="B162" t="s">
        <v>91</v>
      </c>
      <c r="C162" s="8">
        <v>0.85454545454545328</v>
      </c>
      <c r="D162" s="8">
        <v>1.25925925925926</v>
      </c>
    </row>
    <row r="163" spans="2:4" x14ac:dyDescent="0.3">
      <c r="B163" t="s">
        <v>92</v>
      </c>
      <c r="C163">
        <v>11</v>
      </c>
      <c r="D163">
        <v>27</v>
      </c>
    </row>
    <row r="164" spans="2:4" x14ac:dyDescent="0.3">
      <c r="B164" t="s">
        <v>93</v>
      </c>
      <c r="C164">
        <v>0</v>
      </c>
    </row>
    <row r="165" spans="2:4" x14ac:dyDescent="0.3">
      <c r="B165" t="s">
        <v>94</v>
      </c>
      <c r="C165">
        <v>22</v>
      </c>
    </row>
    <row r="166" spans="2:4" x14ac:dyDescent="0.3">
      <c r="B166" t="s">
        <v>95</v>
      </c>
      <c r="C166" s="8">
        <v>0.33421969825848358</v>
      </c>
    </row>
    <row r="167" spans="2:4" x14ac:dyDescent="0.3">
      <c r="B167" t="s">
        <v>96</v>
      </c>
      <c r="C167" s="8">
        <v>0.37068945850230861</v>
      </c>
    </row>
    <row r="168" spans="2:4" x14ac:dyDescent="0.3">
      <c r="B168" t="s">
        <v>97</v>
      </c>
      <c r="C168" s="8">
        <v>1.7171443743802424</v>
      </c>
    </row>
    <row r="169" spans="2:4" x14ac:dyDescent="0.3">
      <c r="B169" t="s">
        <v>98</v>
      </c>
      <c r="C169" s="10">
        <v>0.74137891700461722</v>
      </c>
    </row>
    <row r="170" spans="2:4" ht="15" thickBot="1" x14ac:dyDescent="0.35">
      <c r="B170" s="3" t="s">
        <v>99</v>
      </c>
      <c r="C170" s="9">
        <v>2.0738730679040258</v>
      </c>
      <c r="D170" s="3"/>
    </row>
    <row r="172" spans="2:4" ht="15" thickBot="1" x14ac:dyDescent="0.35">
      <c r="B172" t="s">
        <v>114</v>
      </c>
    </row>
    <row r="173" spans="2:4" x14ac:dyDescent="0.3">
      <c r="B173" s="16" t="s">
        <v>18</v>
      </c>
      <c r="C173" s="4"/>
      <c r="D173" s="4"/>
    </row>
    <row r="174" spans="2:4" x14ac:dyDescent="0.3">
      <c r="B174" s="11"/>
      <c r="C174" s="12" t="s">
        <v>101</v>
      </c>
      <c r="D174" s="12" t="s">
        <v>100</v>
      </c>
    </row>
    <row r="175" spans="2:4" x14ac:dyDescent="0.3">
      <c r="B175" t="s">
        <v>74</v>
      </c>
      <c r="C175" s="10">
        <v>3.5454545454545454</v>
      </c>
      <c r="D175" s="10">
        <v>2.925925925925926</v>
      </c>
    </row>
    <row r="176" spans="2:4" x14ac:dyDescent="0.3">
      <c r="B176" t="s">
        <v>91</v>
      </c>
      <c r="C176" s="8">
        <v>1.272727272727272</v>
      </c>
      <c r="D176" s="8">
        <v>1.3789173789173788</v>
      </c>
    </row>
    <row r="177" spans="2:4" x14ac:dyDescent="0.3">
      <c r="B177" t="s">
        <v>92</v>
      </c>
      <c r="C177">
        <v>11</v>
      </c>
      <c r="D177">
        <v>27</v>
      </c>
    </row>
    <row r="178" spans="2:4" x14ac:dyDescent="0.3">
      <c r="B178" t="s">
        <v>93</v>
      </c>
      <c r="C178">
        <v>0</v>
      </c>
    </row>
    <row r="179" spans="2:4" x14ac:dyDescent="0.3">
      <c r="B179" t="s">
        <v>94</v>
      </c>
      <c r="C179">
        <v>19</v>
      </c>
    </row>
    <row r="180" spans="2:4" x14ac:dyDescent="0.3">
      <c r="B180" t="s">
        <v>95</v>
      </c>
      <c r="C180" s="8">
        <v>1.5170428946902654</v>
      </c>
    </row>
    <row r="181" spans="2:4" x14ac:dyDescent="0.3">
      <c r="B181" t="s">
        <v>96</v>
      </c>
      <c r="C181" s="8">
        <v>7.2859261687135898E-2</v>
      </c>
    </row>
    <row r="182" spans="2:4" x14ac:dyDescent="0.3">
      <c r="B182" t="s">
        <v>97</v>
      </c>
      <c r="C182" s="8">
        <v>1.7291328115213698</v>
      </c>
    </row>
    <row r="183" spans="2:4" x14ac:dyDescent="0.3">
      <c r="B183" t="s">
        <v>98</v>
      </c>
      <c r="C183" s="10">
        <v>0.1457185233742718</v>
      </c>
    </row>
    <row r="184" spans="2:4" ht="15" thickBot="1" x14ac:dyDescent="0.35">
      <c r="B184" s="3" t="s">
        <v>99</v>
      </c>
      <c r="C184" s="9">
        <v>2.0930240544083096</v>
      </c>
      <c r="D184" s="3"/>
    </row>
    <row r="186" spans="2:4" ht="15" thickBot="1" x14ac:dyDescent="0.35">
      <c r="B186" t="s">
        <v>115</v>
      </c>
    </row>
    <row r="187" spans="2:4" x14ac:dyDescent="0.3">
      <c r="B187" s="4"/>
      <c r="C187" s="4" t="s">
        <v>19</v>
      </c>
      <c r="D187" s="4" t="s">
        <v>19</v>
      </c>
    </row>
    <row r="188" spans="2:4" x14ac:dyDescent="0.3">
      <c r="B188" s="11"/>
      <c r="C188" s="12" t="s">
        <v>101</v>
      </c>
      <c r="D188" s="12" t="s">
        <v>100</v>
      </c>
    </row>
    <row r="189" spans="2:4" x14ac:dyDescent="0.3">
      <c r="B189" t="s">
        <v>74</v>
      </c>
      <c r="C189" s="10">
        <v>3.6363636363636362</v>
      </c>
      <c r="D189" s="10">
        <v>3.2962962962962963</v>
      </c>
    </row>
    <row r="190" spans="2:4" x14ac:dyDescent="0.3">
      <c r="B190" t="s">
        <v>91</v>
      </c>
      <c r="C190" s="8">
        <v>1.0545454545454533</v>
      </c>
      <c r="D190" s="8">
        <v>1.6011396011396006</v>
      </c>
    </row>
    <row r="191" spans="2:4" x14ac:dyDescent="0.3">
      <c r="B191" t="s">
        <v>92</v>
      </c>
      <c r="C191">
        <v>11</v>
      </c>
      <c r="D191">
        <v>27</v>
      </c>
    </row>
    <row r="192" spans="2:4" x14ac:dyDescent="0.3">
      <c r="B192" t="s">
        <v>93</v>
      </c>
      <c r="C192">
        <v>0</v>
      </c>
    </row>
    <row r="193" spans="2:4" x14ac:dyDescent="0.3">
      <c r="B193" t="s">
        <v>94</v>
      </c>
      <c r="C193">
        <v>23</v>
      </c>
    </row>
    <row r="194" spans="2:4" x14ac:dyDescent="0.3">
      <c r="B194" t="s">
        <v>95</v>
      </c>
      <c r="C194" s="8">
        <v>0.8633007426867001</v>
      </c>
    </row>
    <row r="195" spans="2:4" x14ac:dyDescent="0.3">
      <c r="B195" t="s">
        <v>96</v>
      </c>
      <c r="C195" s="8">
        <v>0.19844277052377024</v>
      </c>
    </row>
    <row r="196" spans="2:4" x14ac:dyDescent="0.3">
      <c r="B196" t="s">
        <v>97</v>
      </c>
      <c r="C196" s="8">
        <v>1.7138715277470482</v>
      </c>
    </row>
    <row r="197" spans="2:4" x14ac:dyDescent="0.3">
      <c r="B197" t="s">
        <v>98</v>
      </c>
      <c r="C197" s="10">
        <v>0.39688554104754048</v>
      </c>
    </row>
    <row r="198" spans="2:4" ht="15" thickBot="1" x14ac:dyDescent="0.35">
      <c r="B198" s="3" t="s">
        <v>99</v>
      </c>
      <c r="C198" s="3">
        <v>2.0686576104190491</v>
      </c>
      <c r="D198" s="3"/>
    </row>
    <row r="200" spans="2:4" ht="15" thickBot="1" x14ac:dyDescent="0.35">
      <c r="B200" t="s">
        <v>116</v>
      </c>
    </row>
    <row r="201" spans="2:4" x14ac:dyDescent="0.3">
      <c r="B201" s="4"/>
      <c r="C201" s="4" t="s">
        <v>20</v>
      </c>
      <c r="D201" s="4" t="s">
        <v>20</v>
      </c>
    </row>
    <row r="202" spans="2:4" x14ac:dyDescent="0.3">
      <c r="B202" s="11"/>
      <c r="C202" s="12" t="s">
        <v>101</v>
      </c>
      <c r="D202" s="12" t="s">
        <v>100</v>
      </c>
    </row>
    <row r="203" spans="2:4" x14ac:dyDescent="0.3">
      <c r="B203" t="s">
        <v>74</v>
      </c>
      <c r="C203" s="10">
        <v>2.9090909090909092</v>
      </c>
      <c r="D203" s="10">
        <v>3.8148148148148149</v>
      </c>
    </row>
    <row r="204" spans="2:4" x14ac:dyDescent="0.3">
      <c r="B204" t="s">
        <v>91</v>
      </c>
      <c r="C204" s="8">
        <v>2.0909090909090908</v>
      </c>
      <c r="D204" s="8">
        <v>1.0797720797720798</v>
      </c>
    </row>
    <row r="205" spans="2:4" x14ac:dyDescent="0.3">
      <c r="B205" t="s">
        <v>92</v>
      </c>
      <c r="C205">
        <v>11</v>
      </c>
      <c r="D205">
        <v>27</v>
      </c>
    </row>
    <row r="206" spans="2:4" x14ac:dyDescent="0.3">
      <c r="B206" t="s">
        <v>93</v>
      </c>
      <c r="C206">
        <v>0</v>
      </c>
    </row>
    <row r="207" spans="2:4" x14ac:dyDescent="0.3">
      <c r="B207" t="s">
        <v>94</v>
      </c>
      <c r="C207">
        <v>14</v>
      </c>
    </row>
    <row r="208" spans="2:4" x14ac:dyDescent="0.3">
      <c r="B208" t="s">
        <v>95</v>
      </c>
      <c r="C208" s="8">
        <v>-1.888260322076859</v>
      </c>
    </row>
    <row r="209" spans="2:4" x14ac:dyDescent="0.3">
      <c r="B209" t="s">
        <v>96</v>
      </c>
      <c r="C209" s="8">
        <v>3.9945345669232496E-2</v>
      </c>
    </row>
    <row r="210" spans="2:4" x14ac:dyDescent="0.3">
      <c r="B210" t="s">
        <v>97</v>
      </c>
      <c r="C210" s="8">
        <v>1.7613101357748921</v>
      </c>
    </row>
    <row r="211" spans="2:4" x14ac:dyDescent="0.3">
      <c r="B211" t="s">
        <v>98</v>
      </c>
      <c r="C211" s="10">
        <v>7.9890691338464992E-2</v>
      </c>
    </row>
    <row r="212" spans="2:4" ht="15" thickBot="1" x14ac:dyDescent="0.35">
      <c r="B212" s="3" t="s">
        <v>99</v>
      </c>
      <c r="C212" s="9">
        <v>2.1447866879178044</v>
      </c>
      <c r="D212" s="3"/>
    </row>
    <row r="214" spans="2:4" ht="15" thickBot="1" x14ac:dyDescent="0.35">
      <c r="B214" t="s">
        <v>117</v>
      </c>
    </row>
    <row r="215" spans="2:4" x14ac:dyDescent="0.3">
      <c r="B215" s="4"/>
      <c r="C215" s="4" t="s">
        <v>21</v>
      </c>
      <c r="D215" s="4"/>
    </row>
    <row r="216" spans="2:4" x14ac:dyDescent="0.3">
      <c r="B216" s="11"/>
      <c r="C216" s="12" t="s">
        <v>101</v>
      </c>
      <c r="D216" s="12" t="s">
        <v>100</v>
      </c>
    </row>
    <row r="217" spans="2:4" x14ac:dyDescent="0.3">
      <c r="B217" t="s">
        <v>74</v>
      </c>
      <c r="C217" s="10">
        <v>4.3636363636363633</v>
      </c>
      <c r="D217" s="10">
        <v>3.6296296296296298</v>
      </c>
    </row>
    <row r="218" spans="2:4" x14ac:dyDescent="0.3">
      <c r="B218" t="s">
        <v>91</v>
      </c>
      <c r="C218" s="8">
        <v>0.65454545454545321</v>
      </c>
      <c r="D218" s="8">
        <v>1.3960113960113962</v>
      </c>
    </row>
    <row r="219" spans="2:4" x14ac:dyDescent="0.3">
      <c r="B219" t="s">
        <v>92</v>
      </c>
      <c r="C219">
        <v>11</v>
      </c>
      <c r="D219">
        <v>27</v>
      </c>
    </row>
    <row r="220" spans="2:4" x14ac:dyDescent="0.3">
      <c r="B220" t="s">
        <v>93</v>
      </c>
      <c r="C220">
        <v>0</v>
      </c>
    </row>
    <row r="221" spans="2:4" x14ac:dyDescent="0.3">
      <c r="B221" t="s">
        <v>94</v>
      </c>
      <c r="C221">
        <v>27</v>
      </c>
    </row>
    <row r="222" spans="2:4" x14ac:dyDescent="0.3">
      <c r="B222" t="s">
        <v>95</v>
      </c>
      <c r="C222" s="8">
        <v>2.2010581953533066</v>
      </c>
    </row>
    <row r="223" spans="2:4" x14ac:dyDescent="0.3">
      <c r="B223" t="s">
        <v>96</v>
      </c>
      <c r="C223" s="8">
        <v>1.8231927765174245E-2</v>
      </c>
    </row>
    <row r="224" spans="2:4" x14ac:dyDescent="0.3">
      <c r="B224" t="s">
        <v>97</v>
      </c>
      <c r="C224" s="8">
        <v>1.7032884457221271</v>
      </c>
    </row>
    <row r="225" spans="2:4" x14ac:dyDescent="0.3">
      <c r="B225" t="s">
        <v>98</v>
      </c>
      <c r="C225" s="10">
        <v>3.6463855530348491E-2</v>
      </c>
    </row>
    <row r="226" spans="2:4" ht="15" thickBot="1" x14ac:dyDescent="0.35">
      <c r="B226" s="3" t="s">
        <v>99</v>
      </c>
      <c r="C226" s="9">
        <v>2.0518305164802859</v>
      </c>
      <c r="D226" s="3"/>
    </row>
    <row r="228" spans="2:4" ht="15" thickBot="1" x14ac:dyDescent="0.35">
      <c r="B228" t="s">
        <v>118</v>
      </c>
    </row>
    <row r="229" spans="2:4" x14ac:dyDescent="0.3">
      <c r="B229" s="16" t="s">
        <v>22</v>
      </c>
      <c r="C229" s="4"/>
      <c r="D229" s="4"/>
    </row>
    <row r="230" spans="2:4" x14ac:dyDescent="0.3">
      <c r="B230" s="11"/>
      <c r="C230" s="12" t="s">
        <v>101</v>
      </c>
      <c r="D230" s="12" t="s">
        <v>100</v>
      </c>
    </row>
    <row r="231" spans="2:4" x14ac:dyDescent="0.3">
      <c r="B231" t="s">
        <v>74</v>
      </c>
      <c r="C231" s="10">
        <v>4.7272727272727275</v>
      </c>
      <c r="D231" s="10">
        <v>4.3703703703703702</v>
      </c>
    </row>
    <row r="232" spans="2:4" x14ac:dyDescent="0.3">
      <c r="B232" t="s">
        <v>91</v>
      </c>
      <c r="C232" s="8">
        <v>0.2181818181818182</v>
      </c>
      <c r="D232" s="8">
        <v>1.3960113960113962</v>
      </c>
    </row>
    <row r="233" spans="2:4" x14ac:dyDescent="0.3">
      <c r="B233" t="s">
        <v>92</v>
      </c>
      <c r="C233">
        <v>11</v>
      </c>
      <c r="D233">
        <v>27</v>
      </c>
    </row>
    <row r="234" spans="2:4" x14ac:dyDescent="0.3">
      <c r="B234" t="s">
        <v>93</v>
      </c>
      <c r="C234">
        <v>0</v>
      </c>
    </row>
    <row r="235" spans="2:4" x14ac:dyDescent="0.3">
      <c r="B235" t="s">
        <v>94</v>
      </c>
      <c r="C235">
        <v>36</v>
      </c>
    </row>
    <row r="236" spans="2:4" x14ac:dyDescent="0.3">
      <c r="B236" t="s">
        <v>95</v>
      </c>
      <c r="C236" s="8">
        <v>1.3343767909684661</v>
      </c>
    </row>
    <row r="237" spans="2:4" x14ac:dyDescent="0.3">
      <c r="B237" t="s">
        <v>96</v>
      </c>
      <c r="C237" s="8">
        <v>9.5229901092855562E-2</v>
      </c>
    </row>
    <row r="238" spans="2:4" x14ac:dyDescent="0.3">
      <c r="B238" t="s">
        <v>97</v>
      </c>
      <c r="C238" s="8">
        <v>1.6882977141168172</v>
      </c>
    </row>
    <row r="239" spans="2:4" x14ac:dyDescent="0.3">
      <c r="B239" t="s">
        <v>98</v>
      </c>
      <c r="C239" s="10">
        <v>0.19045980218571112</v>
      </c>
    </row>
    <row r="240" spans="2:4" ht="15" thickBot="1" x14ac:dyDescent="0.35">
      <c r="B240" s="3" t="s">
        <v>99</v>
      </c>
      <c r="C240" s="9">
        <v>2.028094000980452</v>
      </c>
      <c r="D240" s="3"/>
    </row>
    <row r="242" spans="2:4" ht="15" thickBot="1" x14ac:dyDescent="0.35">
      <c r="B242" t="s">
        <v>119</v>
      </c>
    </row>
    <row r="243" spans="2:4" x14ac:dyDescent="0.3">
      <c r="B243" s="16" t="s">
        <v>23</v>
      </c>
      <c r="C243" s="4"/>
      <c r="D243" s="4"/>
    </row>
    <row r="244" spans="2:4" x14ac:dyDescent="0.3">
      <c r="B244" s="11"/>
      <c r="C244" s="12" t="s">
        <v>101</v>
      </c>
      <c r="D244" s="12" t="s">
        <v>100</v>
      </c>
    </row>
    <row r="245" spans="2:4" x14ac:dyDescent="0.3">
      <c r="B245" t="s">
        <v>74</v>
      </c>
      <c r="C245" s="10">
        <v>4.3636363636363633</v>
      </c>
      <c r="D245" s="10">
        <v>4.1851851851851851</v>
      </c>
    </row>
    <row r="246" spans="2:4" x14ac:dyDescent="0.3">
      <c r="B246" t="s">
        <v>91</v>
      </c>
      <c r="C246" s="8">
        <v>1.0545454545454533</v>
      </c>
      <c r="D246" s="8">
        <v>1.4643874643874644</v>
      </c>
    </row>
    <row r="247" spans="2:4" x14ac:dyDescent="0.3">
      <c r="B247" t="s">
        <v>92</v>
      </c>
      <c r="C247">
        <v>11</v>
      </c>
      <c r="D247">
        <v>27</v>
      </c>
    </row>
    <row r="248" spans="2:4" x14ac:dyDescent="0.3">
      <c r="B248" t="s">
        <v>93</v>
      </c>
      <c r="C248">
        <v>0</v>
      </c>
    </row>
    <row r="249" spans="2:4" x14ac:dyDescent="0.3">
      <c r="B249" t="s">
        <v>94</v>
      </c>
      <c r="C249">
        <v>22</v>
      </c>
    </row>
    <row r="250" spans="2:4" x14ac:dyDescent="0.3">
      <c r="B250" t="s">
        <v>95</v>
      </c>
      <c r="C250" s="8">
        <v>0.46059879101841839</v>
      </c>
    </row>
    <row r="251" spans="2:4" x14ac:dyDescent="0.3">
      <c r="B251" t="s">
        <v>96</v>
      </c>
      <c r="C251" s="8">
        <v>0.32480352110029209</v>
      </c>
    </row>
    <row r="252" spans="2:4" x14ac:dyDescent="0.3">
      <c r="B252" t="s">
        <v>97</v>
      </c>
      <c r="C252" s="8">
        <v>1.7171443743802424</v>
      </c>
    </row>
    <row r="253" spans="2:4" x14ac:dyDescent="0.3">
      <c r="B253" t="s">
        <v>98</v>
      </c>
      <c r="C253" s="10">
        <v>0.64960704220058418</v>
      </c>
    </row>
    <row r="254" spans="2:4" ht="15" thickBot="1" x14ac:dyDescent="0.35">
      <c r="B254" s="3" t="s">
        <v>99</v>
      </c>
      <c r="C254" s="9">
        <v>2.0738730679040258</v>
      </c>
      <c r="D254" s="3"/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1AB5-13AC-47BF-94C3-84B007FC8099}">
  <dimension ref="B2:J28"/>
  <sheetViews>
    <sheetView topLeftCell="A4" zoomScaleNormal="100" workbookViewId="0">
      <selection activeCell="B22" activeCellId="1" sqref="B17:D19 B22:D22"/>
    </sheetView>
  </sheetViews>
  <sheetFormatPr defaultRowHeight="14.4" x14ac:dyDescent="0.3"/>
  <cols>
    <col min="2" max="2" width="28.77734375" customWidth="1"/>
    <col min="3" max="3" width="12.21875" customWidth="1"/>
    <col min="8" max="8" width="12.109375" customWidth="1"/>
  </cols>
  <sheetData>
    <row r="2" spans="2:10" ht="18" x14ac:dyDescent="0.35">
      <c r="B2" s="28" t="s">
        <v>131</v>
      </c>
      <c r="C2" s="28"/>
      <c r="D2" s="28"/>
      <c r="E2" s="28"/>
      <c r="F2" s="28"/>
      <c r="G2" s="28"/>
      <c r="H2" s="28"/>
      <c r="I2" s="28"/>
    </row>
    <row r="3" spans="2:10" x14ac:dyDescent="0.3">
      <c r="B3" s="21" t="s">
        <v>132</v>
      </c>
      <c r="C3" s="23" t="s">
        <v>121</v>
      </c>
      <c r="D3" s="23" t="s">
        <v>122</v>
      </c>
      <c r="E3" s="23" t="s">
        <v>120</v>
      </c>
      <c r="F3" s="23" t="s">
        <v>123</v>
      </c>
      <c r="G3" s="23" t="s">
        <v>124</v>
      </c>
      <c r="H3" s="23" t="s">
        <v>161</v>
      </c>
      <c r="I3" s="23" t="s">
        <v>125</v>
      </c>
    </row>
    <row r="4" spans="2:10" ht="28.8" x14ac:dyDescent="0.3">
      <c r="B4" s="19" t="s">
        <v>126</v>
      </c>
      <c r="C4" s="24">
        <v>4.6399999999999997</v>
      </c>
      <c r="D4" s="24">
        <v>4.04</v>
      </c>
      <c r="E4" s="24">
        <v>0.04</v>
      </c>
      <c r="F4" s="24" t="s">
        <v>127</v>
      </c>
      <c r="G4" s="25">
        <f>C4-D4</f>
        <v>0.59999999999999964</v>
      </c>
      <c r="H4" s="26">
        <f>'X&amp;Z_Agrees_Avg'!B41</f>
        <v>0.86842105263157898</v>
      </c>
      <c r="I4" s="22" t="s">
        <v>163</v>
      </c>
    </row>
    <row r="5" spans="2:10" ht="28.8" x14ac:dyDescent="0.3">
      <c r="B5" s="19" t="s">
        <v>128</v>
      </c>
      <c r="C5" s="24">
        <v>4.55</v>
      </c>
      <c r="D5" s="24">
        <v>3.81</v>
      </c>
      <c r="E5" s="24">
        <v>0.04</v>
      </c>
      <c r="F5" s="24" t="s">
        <v>127</v>
      </c>
      <c r="G5" s="24">
        <v>0.74</v>
      </c>
      <c r="H5" s="26">
        <f>'X&amp;Z_Agrees_Avg'!C41</f>
        <v>0.73684210526315785</v>
      </c>
      <c r="I5" s="22" t="s">
        <v>164</v>
      </c>
    </row>
    <row r="6" spans="2:10" ht="28.8" x14ac:dyDescent="0.3">
      <c r="B6" s="19" t="s">
        <v>129</v>
      </c>
      <c r="C6" s="24">
        <v>4.3600000000000003</v>
      </c>
      <c r="D6" s="24">
        <v>3.74</v>
      </c>
      <c r="E6" s="24">
        <v>7.0000000000000007E-2</v>
      </c>
      <c r="F6" s="24" t="s">
        <v>130</v>
      </c>
      <c r="G6" s="24">
        <v>0.62</v>
      </c>
      <c r="H6" s="26">
        <f>'X&amp;Z_Agrees_Avg'!D41</f>
        <v>0.76315789473684215</v>
      </c>
      <c r="I6" s="22" t="s">
        <v>165</v>
      </c>
    </row>
    <row r="8" spans="2:10" ht="18" x14ac:dyDescent="0.35">
      <c r="B8" s="28" t="s">
        <v>144</v>
      </c>
      <c r="C8" s="28"/>
      <c r="D8" s="28"/>
      <c r="E8" s="28"/>
      <c r="F8" s="28"/>
      <c r="G8" s="28"/>
      <c r="H8" s="28"/>
      <c r="I8" s="28"/>
    </row>
    <row r="9" spans="2:10" x14ac:dyDescent="0.3">
      <c r="B9" s="21" t="s">
        <v>132</v>
      </c>
      <c r="C9" s="23" t="s">
        <v>121</v>
      </c>
      <c r="D9" s="23" t="s">
        <v>122</v>
      </c>
      <c r="E9" s="23" t="s">
        <v>120</v>
      </c>
      <c r="F9" s="23" t="s">
        <v>133</v>
      </c>
      <c r="G9" s="23" t="s">
        <v>124</v>
      </c>
      <c r="H9" s="23" t="s">
        <v>161</v>
      </c>
      <c r="I9" s="23" t="s">
        <v>125</v>
      </c>
    </row>
    <row r="10" spans="2:10" x14ac:dyDescent="0.3">
      <c r="B10" s="22" t="s">
        <v>134</v>
      </c>
      <c r="C10" s="24">
        <v>4.18</v>
      </c>
      <c r="D10" s="24">
        <v>3.41</v>
      </c>
      <c r="E10" s="24">
        <v>0.03</v>
      </c>
      <c r="F10" s="24" t="s">
        <v>127</v>
      </c>
      <c r="G10" s="24">
        <f>C10-D10</f>
        <v>0.76999999999999957</v>
      </c>
      <c r="H10" s="26">
        <f>'X&amp;Z_Agrees_Avg'!E41</f>
        <v>0.68421052631578949</v>
      </c>
      <c r="I10" s="22" t="s">
        <v>135</v>
      </c>
      <c r="J10" s="26"/>
    </row>
    <row r="11" spans="2:10" x14ac:dyDescent="0.3">
      <c r="B11" s="22" t="s">
        <v>136</v>
      </c>
      <c r="C11" s="24">
        <v>4.3600000000000003</v>
      </c>
      <c r="D11" s="24">
        <v>3.7</v>
      </c>
      <c r="E11" s="24">
        <v>0.06</v>
      </c>
      <c r="F11" s="24" t="s">
        <v>130</v>
      </c>
      <c r="G11" s="24">
        <f t="shared" ref="G11:G14" si="0">C11-D11</f>
        <v>0.66000000000000014</v>
      </c>
      <c r="H11" s="26">
        <f>'X&amp;Z_Agrees_Avg'!F41</f>
        <v>0.76315789473684215</v>
      </c>
      <c r="I11" s="22" t="s">
        <v>137</v>
      </c>
      <c r="J11" s="26"/>
    </row>
    <row r="12" spans="2:10" x14ac:dyDescent="0.3">
      <c r="B12" s="22" t="s">
        <v>138</v>
      </c>
      <c r="C12" s="24">
        <v>4.45</v>
      </c>
      <c r="D12" s="24">
        <v>4.26</v>
      </c>
      <c r="E12" s="24">
        <v>0.49</v>
      </c>
      <c r="F12" s="24" t="s">
        <v>130</v>
      </c>
      <c r="G12" s="24">
        <f t="shared" si="0"/>
        <v>0.19000000000000039</v>
      </c>
      <c r="H12" s="26">
        <f>'X&amp;Z_Agrees_Avg'!H41</f>
        <v>0.63157894736842102</v>
      </c>
      <c r="I12" s="22" t="s">
        <v>139</v>
      </c>
      <c r="J12" s="26"/>
    </row>
    <row r="13" spans="2:10" x14ac:dyDescent="0.3">
      <c r="B13" s="22" t="s">
        <v>140</v>
      </c>
      <c r="C13" s="24">
        <v>3.09</v>
      </c>
      <c r="D13" s="24">
        <v>3.41</v>
      </c>
      <c r="E13" s="24">
        <v>0.53</v>
      </c>
      <c r="F13" s="24" t="s">
        <v>130</v>
      </c>
      <c r="G13" s="24">
        <f t="shared" si="0"/>
        <v>-0.32000000000000028</v>
      </c>
      <c r="H13" s="26">
        <f>'X&amp;Z_Agrees_Avg'!L41</f>
        <v>0.55263157894736847</v>
      </c>
      <c r="I13" s="22" t="s">
        <v>141</v>
      </c>
      <c r="J13" s="26"/>
    </row>
    <row r="14" spans="2:10" x14ac:dyDescent="0.3">
      <c r="B14" s="22" t="s">
        <v>142</v>
      </c>
      <c r="C14" s="24">
        <v>3.64</v>
      </c>
      <c r="D14" s="24">
        <v>3.52</v>
      </c>
      <c r="E14" s="24">
        <v>0.74</v>
      </c>
      <c r="F14" s="24" t="s">
        <v>130</v>
      </c>
      <c r="G14" s="24">
        <f t="shared" si="0"/>
        <v>0.12000000000000011</v>
      </c>
      <c r="H14" s="26">
        <f>'X&amp;Z_Agrees_Avg'!M41</f>
        <v>0.63157894736842102</v>
      </c>
      <c r="I14" s="22" t="s">
        <v>143</v>
      </c>
      <c r="J14" s="26"/>
    </row>
    <row r="16" spans="2:10" ht="18" x14ac:dyDescent="0.35">
      <c r="B16" s="28" t="s">
        <v>145</v>
      </c>
      <c r="C16" s="28"/>
      <c r="D16" s="28"/>
      <c r="E16" s="28"/>
      <c r="F16" s="28"/>
      <c r="G16" s="28"/>
      <c r="H16" s="28"/>
      <c r="I16" s="28"/>
    </row>
    <row r="17" spans="2:10" x14ac:dyDescent="0.3">
      <c r="B17" s="21" t="s">
        <v>132</v>
      </c>
      <c r="C17" s="23" t="s">
        <v>121</v>
      </c>
      <c r="D17" s="23" t="s">
        <v>122</v>
      </c>
      <c r="E17" s="23" t="s">
        <v>120</v>
      </c>
      <c r="F17" s="23" t="s">
        <v>133</v>
      </c>
      <c r="G17" s="23" t="s">
        <v>124</v>
      </c>
      <c r="H17" s="23" t="s">
        <v>161</v>
      </c>
      <c r="I17" s="23" t="s">
        <v>125</v>
      </c>
    </row>
    <row r="18" spans="2:10" x14ac:dyDescent="0.3">
      <c r="B18" s="22" t="s">
        <v>146</v>
      </c>
      <c r="C18" s="24">
        <v>2.5499999999999998</v>
      </c>
      <c r="D18" s="24">
        <v>3.41</v>
      </c>
      <c r="E18" s="24">
        <v>0.11</v>
      </c>
      <c r="F18" s="24" t="s">
        <v>130</v>
      </c>
      <c r="G18" s="24">
        <f>C18-D18</f>
        <v>-0.86000000000000032</v>
      </c>
      <c r="H18" s="26">
        <f>'X&amp;Z_Agrees_Avg'!I41</f>
        <v>0.52631578947368418</v>
      </c>
      <c r="I18" s="22" t="s">
        <v>147</v>
      </c>
      <c r="J18" s="26"/>
    </row>
    <row r="19" spans="2:10" x14ac:dyDescent="0.3">
      <c r="B19" s="22" t="s">
        <v>148</v>
      </c>
      <c r="C19" s="24">
        <v>4.3600000000000003</v>
      </c>
      <c r="D19" s="24">
        <v>3.89</v>
      </c>
      <c r="E19" s="24">
        <v>0.16</v>
      </c>
      <c r="F19" s="24" t="s">
        <v>130</v>
      </c>
      <c r="G19" s="24">
        <f t="shared" ref="G19:G23" si="1">C19-D19</f>
        <v>0.4700000000000002</v>
      </c>
      <c r="H19" s="26">
        <f>'X&amp;Z_Agrees_Avg'!J41</f>
        <v>0.71052631578947367</v>
      </c>
      <c r="I19" s="22" t="s">
        <v>149</v>
      </c>
      <c r="J19" s="26"/>
    </row>
    <row r="20" spans="2:10" x14ac:dyDescent="0.3">
      <c r="B20" s="22" t="s">
        <v>150</v>
      </c>
      <c r="C20" s="24">
        <v>4</v>
      </c>
      <c r="D20" s="24">
        <v>3.33</v>
      </c>
      <c r="E20" s="24">
        <v>0.12</v>
      </c>
      <c r="F20" s="24" t="s">
        <v>130</v>
      </c>
      <c r="G20" s="24">
        <f t="shared" si="1"/>
        <v>0.66999999999999993</v>
      </c>
      <c r="H20" s="26">
        <f>'X&amp;Z_Agrees_Avg'!K41</f>
        <v>0.57894736842105265</v>
      </c>
      <c r="I20" s="22" t="s">
        <v>151</v>
      </c>
      <c r="J20" s="26"/>
    </row>
    <row r="21" spans="2:10" x14ac:dyDescent="0.3">
      <c r="B21" s="22" t="s">
        <v>152</v>
      </c>
      <c r="C21" s="24">
        <v>2.91</v>
      </c>
      <c r="D21" s="24">
        <v>3.81</v>
      </c>
      <c r="E21" s="24">
        <v>0.08</v>
      </c>
      <c r="F21" s="24" t="s">
        <v>130</v>
      </c>
      <c r="G21" s="25">
        <f t="shared" si="1"/>
        <v>-0.89999999999999991</v>
      </c>
      <c r="H21" s="26">
        <f>'X&amp;Z_Agrees_Avg'!P41</f>
        <v>0.60526315789473684</v>
      </c>
      <c r="I21" s="22" t="s">
        <v>153</v>
      </c>
      <c r="J21" s="26"/>
    </row>
    <row r="22" spans="2:10" x14ac:dyDescent="0.3">
      <c r="B22" s="22" t="s">
        <v>154</v>
      </c>
      <c r="C22" s="24">
        <v>4.3600000000000003</v>
      </c>
      <c r="D22" s="24">
        <v>3.63</v>
      </c>
      <c r="E22" s="24">
        <v>0.04</v>
      </c>
      <c r="F22" s="24" t="s">
        <v>127</v>
      </c>
      <c r="G22" s="24">
        <f t="shared" si="1"/>
        <v>0.73000000000000043</v>
      </c>
      <c r="H22" s="26">
        <f>'X&amp;Z_Agrees_Avg'!Q41</f>
        <v>0.63157894736842102</v>
      </c>
      <c r="I22" s="22" t="s">
        <v>155</v>
      </c>
      <c r="J22" s="26"/>
    </row>
    <row r="23" spans="2:10" x14ac:dyDescent="0.3">
      <c r="B23" s="22" t="s">
        <v>156</v>
      </c>
      <c r="C23" s="24">
        <v>4.3600000000000003</v>
      </c>
      <c r="D23" s="24">
        <v>4.1900000000000004</v>
      </c>
      <c r="E23" s="24">
        <v>0.65</v>
      </c>
      <c r="F23" s="24" t="s">
        <v>130</v>
      </c>
      <c r="G23" s="24">
        <f t="shared" si="1"/>
        <v>0.16999999999999993</v>
      </c>
      <c r="H23" s="26">
        <f>'X&amp;Z_Agrees_Avg'!S41</f>
        <v>0.78947368421052633</v>
      </c>
      <c r="I23" s="22" t="s">
        <v>157</v>
      </c>
      <c r="J23" s="26"/>
    </row>
    <row r="26" spans="2:10" ht="18" x14ac:dyDescent="0.35">
      <c r="B26" s="28" t="s">
        <v>160</v>
      </c>
      <c r="C26" s="28"/>
      <c r="D26" s="28"/>
      <c r="E26" s="28"/>
      <c r="F26" s="28"/>
      <c r="G26" s="28"/>
      <c r="H26" s="28"/>
      <c r="I26" s="28"/>
    </row>
    <row r="27" spans="2:10" x14ac:dyDescent="0.3">
      <c r="B27" s="21" t="s">
        <v>132</v>
      </c>
      <c r="C27" s="23" t="s">
        <v>121</v>
      </c>
      <c r="D27" s="23" t="s">
        <v>122</v>
      </c>
      <c r="E27" s="23" t="s">
        <v>120</v>
      </c>
      <c r="F27" s="23" t="s">
        <v>133</v>
      </c>
      <c r="G27" s="23" t="s">
        <v>124</v>
      </c>
      <c r="H27" s="23" t="s">
        <v>161</v>
      </c>
      <c r="I27" s="23" t="s">
        <v>125</v>
      </c>
    </row>
    <row r="28" spans="2:10" x14ac:dyDescent="0.3">
      <c r="B28" s="22" t="s">
        <v>158</v>
      </c>
      <c r="C28" s="24">
        <v>4.7300000000000004</v>
      </c>
      <c r="D28" s="24">
        <v>4.37</v>
      </c>
      <c r="E28" s="24">
        <v>0.19</v>
      </c>
      <c r="F28" s="24" t="s">
        <v>130</v>
      </c>
      <c r="G28" s="24">
        <f>C28-D28</f>
        <v>0.36000000000000032</v>
      </c>
      <c r="H28" s="26">
        <f>'X&amp;Z_Agrees_Avg'!R41</f>
        <v>0.92105263157894735</v>
      </c>
      <c r="I28" s="22" t="s">
        <v>159</v>
      </c>
    </row>
  </sheetData>
  <mergeCells count="4">
    <mergeCell ref="B2:I2"/>
    <mergeCell ref="B8:I8"/>
    <mergeCell ref="B16:I16"/>
    <mergeCell ref="B26:I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CC80-0A93-4001-8B76-744F8FB5D033}">
  <dimension ref="X7"/>
  <sheetViews>
    <sheetView tabSelected="1" workbookViewId="0">
      <selection activeCell="K23" sqref="K23"/>
    </sheetView>
  </sheetViews>
  <sheetFormatPr defaultRowHeight="14.4" x14ac:dyDescent="0.3"/>
  <sheetData>
    <row r="7" spans="24:24" x14ac:dyDescent="0.3">
      <c r="X7" t="s">
        <v>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GenX</vt:lpstr>
      <vt:lpstr>GenZ</vt:lpstr>
      <vt:lpstr>X&amp;Z_Agrees_Avg</vt:lpstr>
      <vt:lpstr>Descrptive Statistics</vt:lpstr>
      <vt:lpstr>t-Tests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Sadu Jithendar</cp:lastModifiedBy>
  <dcterms:created xsi:type="dcterms:W3CDTF">2025-12-01T01:12:22Z</dcterms:created>
  <dcterms:modified xsi:type="dcterms:W3CDTF">2025-12-03T01:18:21Z</dcterms:modified>
</cp:coreProperties>
</file>